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heets/sheet1.xml" ContentType="application/vnd.openxmlformats-officedocument.spreadsheetml.chart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proha\Desktop\"/>
    </mc:Choice>
  </mc:AlternateContent>
  <xr:revisionPtr revIDLastSave="0" documentId="13_ncr:1_{39B05D41-6D45-4282-A854-BAA8C0EFCBC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oru-1" sheetId="1" r:id="rId1"/>
    <sheet name="Soru-2" sheetId="8" r:id="rId2"/>
    <sheet name="Soru-3" sheetId="9" r:id="rId3"/>
    <sheet name="Soru-4" sheetId="10" r:id="rId4"/>
    <sheet name="Soru-5" sheetId="11" r:id="rId5"/>
    <sheet name="İl-Bölge" sheetId="5" r:id="rId6"/>
    <sheet name="Soru-5 (Pivot)" sheetId="14" r:id="rId7"/>
    <sheet name="Soru-5 (Grafik)" sheetId="15" r:id="rId8"/>
  </sheets>
  <definedNames>
    <definedName name="OpenSolver_ChosenSolver" localSheetId="3" hidden="1">CBC</definedName>
    <definedName name="OpenSolver_DualsNewSheet" localSheetId="3" hidden="1">0</definedName>
    <definedName name="OpenSolver_UpdateSensitivity" localSheetId="3" hidden="1">1</definedName>
    <definedName name="solver_adj" localSheetId="3" hidden="1">'Soru-4'!$B$2:$B$7</definedName>
    <definedName name="solver_cvg" localSheetId="3" hidden="1">0.0001</definedName>
    <definedName name="solver_drv" localSheetId="3" hidden="1">1</definedName>
    <definedName name="solver_eng" localSheetId="2" hidden="1">1</definedName>
    <definedName name="solver_eng" localSheetId="3" hidden="1">2</definedName>
    <definedName name="solver_eng" localSheetId="6" hidden="1">1</definedName>
    <definedName name="solver_est" localSheetId="3" hidden="1">1</definedName>
    <definedName name="solver_itr" localSheetId="3" hidden="1">2147483647</definedName>
    <definedName name="solver_lhs1" localSheetId="3" hidden="1">'Soru-4'!$B$2:$B$7</definedName>
    <definedName name="solver_lhs2" localSheetId="3" hidden="1">'Soru-4'!$B$2:$B$7</definedName>
    <definedName name="solver_lhs3" localSheetId="3" hidden="1">'Soru-4'!$F$2:$F$7</definedName>
    <definedName name="solver_mip" localSheetId="3" hidden="1">2147483647</definedName>
    <definedName name="solver_mni" localSheetId="3" hidden="1">30</definedName>
    <definedName name="solver_mrt" localSheetId="3" hidden="1">0.075</definedName>
    <definedName name="solver_msl" localSheetId="3" hidden="1">2</definedName>
    <definedName name="solver_neg" localSheetId="2" hidden="1">1</definedName>
    <definedName name="solver_neg" localSheetId="3" hidden="1">1</definedName>
    <definedName name="solver_neg" localSheetId="6" hidden="1">1</definedName>
    <definedName name="solver_nod" localSheetId="3" hidden="1">2147483647</definedName>
    <definedName name="solver_num" localSheetId="2" hidden="1">0</definedName>
    <definedName name="solver_num" localSheetId="3" hidden="1">3</definedName>
    <definedName name="solver_num" localSheetId="6" hidden="1">0</definedName>
    <definedName name="solver_nwt" localSheetId="3" hidden="1">1</definedName>
    <definedName name="solver_opt" localSheetId="2" hidden="1">'Soru-3'!#REF!</definedName>
    <definedName name="solver_opt" localSheetId="3" hidden="1">'Soru-4'!$F$1</definedName>
    <definedName name="solver_opt" localSheetId="6" hidden="1">'Soru-5 (Pivot)'!$B$9</definedName>
    <definedName name="solver_pre" localSheetId="3" hidden="1">0.000001</definedName>
    <definedName name="solver_rbv" localSheetId="3" hidden="1">1</definedName>
    <definedName name="solver_rel1" localSheetId="3" hidden="1">4</definedName>
    <definedName name="solver_rel2" localSheetId="3" hidden="1">3</definedName>
    <definedName name="solver_rel3" localSheetId="3" hidden="1">3</definedName>
    <definedName name="solver_rhs1" localSheetId="3" hidden="1">"tamsayı"</definedName>
    <definedName name="solver_rhs2" localSheetId="3" hidden="1">0</definedName>
    <definedName name="solver_rhs3" localSheetId="3" hidden="1">'Soru-4'!$G$2:$G$7</definedName>
    <definedName name="solver_rlx" localSheetId="3" hidden="1">2</definedName>
    <definedName name="solver_rsd" localSheetId="3" hidden="1">0</definedName>
    <definedName name="solver_scl" localSheetId="3" hidden="1">1</definedName>
    <definedName name="solver_sho" localSheetId="3" hidden="1">2</definedName>
    <definedName name="solver_ssz" localSheetId="3" hidden="1">100</definedName>
    <definedName name="solver_tim" localSheetId="3" hidden="1">2147483647</definedName>
    <definedName name="solver_tol" localSheetId="3" hidden="1">0</definedName>
    <definedName name="solver_typ" localSheetId="2" hidden="1">1</definedName>
    <definedName name="solver_typ" localSheetId="3" hidden="1">2</definedName>
    <definedName name="solver_typ" localSheetId="6" hidden="1">1</definedName>
    <definedName name="solver_val" localSheetId="2" hidden="1">0</definedName>
    <definedName name="solver_val" localSheetId="3" hidden="1">0</definedName>
    <definedName name="solver_val" localSheetId="6" hidden="1">0</definedName>
    <definedName name="solver_ver" localSheetId="2" hidden="1">3</definedName>
    <definedName name="solver_ver" localSheetId="3" hidden="1">3</definedName>
    <definedName name="solver_ver" localSheetId="6" hidden="1">3</definedName>
  </definedName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1" l="1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60" i="11"/>
  <c r="D61" i="11"/>
  <c r="D62" i="11"/>
  <c r="D63" i="11"/>
  <c r="D64" i="11"/>
  <c r="D65" i="11"/>
  <c r="D66" i="11"/>
  <c r="D67" i="11"/>
  <c r="D68" i="11"/>
  <c r="D69" i="11"/>
  <c r="D70" i="11"/>
  <c r="D71" i="11"/>
  <c r="D72" i="11"/>
  <c r="D73" i="11"/>
  <c r="D74" i="11"/>
  <c r="D75" i="11"/>
  <c r="D76" i="11"/>
  <c r="D77" i="11"/>
  <c r="D78" i="11"/>
  <c r="D79" i="11"/>
  <c r="D80" i="11"/>
  <c r="D81" i="11"/>
  <c r="D82" i="11"/>
  <c r="D83" i="11"/>
  <c r="D84" i="11"/>
  <c r="D85" i="11"/>
  <c r="D86" i="11"/>
  <c r="D87" i="11"/>
  <c r="D88" i="11"/>
  <c r="D89" i="11"/>
  <c r="D90" i="11"/>
  <c r="D91" i="11"/>
  <c r="D92" i="11"/>
  <c r="D93" i="11"/>
  <c r="D94" i="11"/>
  <c r="D95" i="11"/>
  <c r="D96" i="11"/>
  <c r="D97" i="11"/>
  <c r="D98" i="11"/>
  <c r="D99" i="11"/>
  <c r="D100" i="11"/>
  <c r="D101" i="11"/>
  <c r="D102" i="11"/>
  <c r="D103" i="11"/>
  <c r="D104" i="11"/>
  <c r="D105" i="11"/>
  <c r="D106" i="11"/>
  <c r="D107" i="11"/>
  <c r="D108" i="11"/>
  <c r="D109" i="11"/>
  <c r="D110" i="11"/>
  <c r="D111" i="11"/>
  <c r="D112" i="11"/>
  <c r="D113" i="11"/>
  <c r="D114" i="11"/>
  <c r="D115" i="11"/>
  <c r="D116" i="11"/>
  <c r="D117" i="11"/>
  <c r="D118" i="11"/>
  <c r="D119" i="11"/>
  <c r="D120" i="11"/>
  <c r="D121" i="11"/>
  <c r="D122" i="11"/>
  <c r="D123" i="11"/>
  <c r="D124" i="11"/>
  <c r="D125" i="11"/>
  <c r="D126" i="11"/>
  <c r="D127" i="11"/>
  <c r="D128" i="11"/>
  <c r="D129" i="11"/>
  <c r="D130" i="11"/>
  <c r="D131" i="11"/>
  <c r="D132" i="11"/>
  <c r="D133" i="11"/>
  <c r="D134" i="11"/>
  <c r="D135" i="11"/>
  <c r="D136" i="11"/>
  <c r="D137" i="11"/>
  <c r="D138" i="11"/>
  <c r="D139" i="11"/>
  <c r="D140" i="11"/>
  <c r="D141" i="11"/>
  <c r="D142" i="11"/>
  <c r="D143" i="11"/>
  <c r="D144" i="11"/>
  <c r="D145" i="11"/>
  <c r="D146" i="11"/>
  <c r="D147" i="11"/>
  <c r="D148" i="11"/>
  <c r="D149" i="11"/>
  <c r="D150" i="11"/>
  <c r="D151" i="11"/>
  <c r="D152" i="11"/>
  <c r="D153" i="11"/>
  <c r="D154" i="11"/>
  <c r="D155" i="11"/>
  <c r="D156" i="11"/>
  <c r="D157" i="11"/>
  <c r="D158" i="11"/>
  <c r="D159" i="11"/>
  <c r="D160" i="11"/>
  <c r="D161" i="11"/>
  <c r="D162" i="11"/>
  <c r="D163" i="11"/>
  <c r="D164" i="11"/>
  <c r="D165" i="11"/>
  <c r="D166" i="11"/>
  <c r="D167" i="11"/>
  <c r="D168" i="11"/>
  <c r="D169" i="11"/>
  <c r="D170" i="11"/>
  <c r="D171" i="11"/>
  <c r="D172" i="11"/>
  <c r="D173" i="11"/>
  <c r="D174" i="11"/>
  <c r="D175" i="11"/>
  <c r="D176" i="11"/>
  <c r="D177" i="11"/>
  <c r="D178" i="11"/>
  <c r="D179" i="11"/>
  <c r="D180" i="11"/>
  <c r="D181" i="11"/>
  <c r="D182" i="11"/>
  <c r="D183" i="11"/>
  <c r="D184" i="11"/>
  <c r="D185" i="11"/>
  <c r="D186" i="11"/>
  <c r="D187" i="11"/>
  <c r="D188" i="11"/>
  <c r="D189" i="11"/>
  <c r="D190" i="11"/>
  <c r="D191" i="11"/>
  <c r="D192" i="11"/>
  <c r="D193" i="11"/>
  <c r="D194" i="11"/>
  <c r="D195" i="11"/>
  <c r="D196" i="11"/>
  <c r="D197" i="11"/>
  <c r="D198" i="11"/>
  <c r="D199" i="11"/>
  <c r="D200" i="11"/>
  <c r="D201" i="11"/>
  <c r="D202" i="11"/>
  <c r="D203" i="11"/>
  <c r="D204" i="11"/>
  <c r="D205" i="11"/>
  <c r="D206" i="11"/>
  <c r="D207" i="11"/>
  <c r="D208" i="11"/>
  <c r="D209" i="11"/>
  <c r="D210" i="11"/>
  <c r="D211" i="11"/>
  <c r="D212" i="11"/>
  <c r="D213" i="11"/>
  <c r="D214" i="11"/>
  <c r="D215" i="11"/>
  <c r="D216" i="11"/>
  <c r="D217" i="11"/>
  <c r="D218" i="11"/>
  <c r="D219" i="11"/>
  <c r="D220" i="11"/>
  <c r="D221" i="11"/>
  <c r="D222" i="11"/>
  <c r="D223" i="11"/>
  <c r="D224" i="11"/>
  <c r="D225" i="11"/>
  <c r="D226" i="11"/>
  <c r="D227" i="11"/>
  <c r="D228" i="11"/>
  <c r="D229" i="11"/>
  <c r="D230" i="11"/>
  <c r="D231" i="11"/>
  <c r="D232" i="11"/>
  <c r="D233" i="11"/>
  <c r="D234" i="11"/>
  <c r="D235" i="11"/>
  <c r="D236" i="11"/>
  <c r="D237" i="11"/>
  <c r="D238" i="11"/>
  <c r="D239" i="11"/>
  <c r="D240" i="11"/>
  <c r="D241" i="11"/>
  <c r="D242" i="11"/>
  <c r="D243" i="11"/>
  <c r="D244" i="11"/>
  <c r="D245" i="11"/>
  <c r="D246" i="11"/>
  <c r="D247" i="11"/>
  <c r="D248" i="11"/>
  <c r="D249" i="11"/>
  <c r="D250" i="11"/>
  <c r="D251" i="11"/>
  <c r="D252" i="11"/>
  <c r="D253" i="11"/>
  <c r="D254" i="11"/>
  <c r="D255" i="11"/>
  <c r="D256" i="11"/>
  <c r="D257" i="11"/>
  <c r="D258" i="11"/>
  <c r="D259" i="11"/>
  <c r="D260" i="11"/>
  <c r="D261" i="11"/>
  <c r="D262" i="11"/>
  <c r="D263" i="11"/>
  <c r="D264" i="11"/>
  <c r="D265" i="11"/>
  <c r="D266" i="11"/>
  <c r="D267" i="11"/>
  <c r="D268" i="11"/>
  <c r="D269" i="11"/>
  <c r="D270" i="11"/>
  <c r="D271" i="11"/>
  <c r="D272" i="11"/>
  <c r="D273" i="11"/>
  <c r="D274" i="11"/>
  <c r="D275" i="11"/>
  <c r="D276" i="11"/>
  <c r="D277" i="11"/>
  <c r="D278" i="11"/>
  <c r="D279" i="11"/>
  <c r="D280" i="11"/>
  <c r="D281" i="11"/>
  <c r="D282" i="11"/>
  <c r="D283" i="11"/>
  <c r="D284" i="11"/>
  <c r="D285" i="11"/>
  <c r="D286" i="11"/>
  <c r="D287" i="11"/>
  <c r="D288" i="11"/>
  <c r="D289" i="11"/>
  <c r="D290" i="11"/>
  <c r="D291" i="11"/>
  <c r="D292" i="11"/>
  <c r="D293" i="11"/>
  <c r="D294" i="11"/>
  <c r="D295" i="11"/>
  <c r="D296" i="11"/>
  <c r="D297" i="11"/>
  <c r="D298" i="11"/>
  <c r="D299" i="11"/>
  <c r="D300" i="11"/>
  <c r="D301" i="11"/>
  <c r="D302" i="11"/>
  <c r="D303" i="11"/>
  <c r="D304" i="11"/>
  <c r="D305" i="11"/>
  <c r="D306" i="11"/>
  <c r="D307" i="11"/>
  <c r="D308" i="11"/>
  <c r="D309" i="11"/>
  <c r="D310" i="11"/>
  <c r="D311" i="11"/>
  <c r="D312" i="11"/>
  <c r="D313" i="11"/>
  <c r="D314" i="11"/>
  <c r="D315" i="11"/>
  <c r="D316" i="11"/>
  <c r="D317" i="11"/>
  <c r="D318" i="11"/>
  <c r="D319" i="11"/>
  <c r="D320" i="11"/>
  <c r="D321" i="11"/>
  <c r="D322" i="11"/>
  <c r="D323" i="11"/>
  <c r="D324" i="11"/>
  <c r="D325" i="11"/>
  <c r="D326" i="11"/>
  <c r="D327" i="11"/>
  <c r="D328" i="11"/>
  <c r="D329" i="11"/>
  <c r="D330" i="11"/>
  <c r="D331" i="11"/>
  <c r="D332" i="11"/>
  <c r="D333" i="11"/>
  <c r="D334" i="11"/>
  <c r="D335" i="11"/>
  <c r="D336" i="11"/>
  <c r="D337" i="11"/>
  <c r="D338" i="11"/>
  <c r="D339" i="11"/>
  <c r="D340" i="11"/>
  <c r="D341" i="11"/>
  <c r="D342" i="11"/>
  <c r="D343" i="11"/>
  <c r="D344" i="11"/>
  <c r="D345" i="11"/>
  <c r="D346" i="11"/>
  <c r="D347" i="11"/>
  <c r="D348" i="11"/>
  <c r="D349" i="11"/>
  <c r="D350" i="11"/>
  <c r="D351" i="11"/>
  <c r="D352" i="11"/>
  <c r="D353" i="11"/>
  <c r="D354" i="11"/>
  <c r="D355" i="11"/>
  <c r="D356" i="11"/>
  <c r="D357" i="11"/>
  <c r="D358" i="11"/>
  <c r="D359" i="11"/>
  <c r="D360" i="11"/>
  <c r="D361" i="11"/>
  <c r="D362" i="11"/>
  <c r="D363" i="11"/>
  <c r="D364" i="11"/>
  <c r="D365" i="11"/>
  <c r="D366" i="11"/>
  <c r="D367" i="11"/>
  <c r="D368" i="11"/>
  <c r="D369" i="11"/>
  <c r="D370" i="11"/>
  <c r="D371" i="11"/>
  <c r="D372" i="11"/>
  <c r="D373" i="11"/>
  <c r="D374" i="11"/>
  <c r="D375" i="11"/>
  <c r="D376" i="11"/>
  <c r="D377" i="11"/>
  <c r="D378" i="11"/>
  <c r="D379" i="11"/>
  <c r="D380" i="11"/>
  <c r="D381" i="11"/>
  <c r="D382" i="11"/>
  <c r="D383" i="11"/>
  <c r="D384" i="11"/>
  <c r="D385" i="11"/>
  <c r="D386" i="11"/>
  <c r="D387" i="11"/>
  <c r="D388" i="11"/>
  <c r="D389" i="11"/>
  <c r="D390" i="11"/>
  <c r="D391" i="11"/>
  <c r="D392" i="11"/>
  <c r="D393" i="11"/>
  <c r="D394" i="11"/>
  <c r="D395" i="11"/>
  <c r="D396" i="11"/>
  <c r="D397" i="11"/>
  <c r="D398" i="11"/>
  <c r="D399" i="11"/>
  <c r="D400" i="11"/>
  <c r="D401" i="11"/>
  <c r="D402" i="11"/>
  <c r="D403" i="11"/>
  <c r="D404" i="11"/>
  <c r="D405" i="11"/>
  <c r="D406" i="11"/>
  <c r="D2" i="11"/>
  <c r="F7" i="10"/>
  <c r="F6" i="10"/>
  <c r="F5" i="10"/>
  <c r="F4" i="10"/>
  <c r="F3" i="10"/>
  <c r="F2" i="10"/>
  <c r="F1" i="10"/>
  <c r="D2" i="8"/>
  <c r="H6" i="8"/>
  <c r="G6" i="8"/>
  <c r="F6" i="8"/>
  <c r="E6" i="8"/>
  <c r="D6" i="8"/>
  <c r="H5" i="8"/>
  <c r="G5" i="8"/>
  <c r="F5" i="8"/>
  <c r="E5" i="8"/>
  <c r="D5" i="8"/>
  <c r="H4" i="8"/>
  <c r="G4" i="8"/>
  <c r="F4" i="8"/>
  <c r="E4" i="8"/>
  <c r="D4" i="8"/>
  <c r="H3" i="8"/>
  <c r="G3" i="8"/>
  <c r="F3" i="8"/>
  <c r="E3" i="8"/>
  <c r="D3" i="8"/>
  <c r="E2" i="8"/>
  <c r="F2" i="8"/>
  <c r="G2" i="8"/>
  <c r="H2" i="8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J2" i="8" l="1" a="1"/>
  <c r="J2" i="8" l="1"/>
  <c r="P2" i="8" s="1" a="1"/>
  <c r="P2" i="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<sst xmlns="http://schemas.openxmlformats.org/spreadsheetml/2006/main" count="641" uniqueCount="224">
  <si>
    <t>ADANA</t>
  </si>
  <si>
    <t>ADIYAMAN</t>
  </si>
  <si>
    <t>AFYONKARAHİSAR</t>
  </si>
  <si>
    <t>AKSARAY</t>
  </si>
  <si>
    <t>AMASYA</t>
  </si>
  <si>
    <t>ANKARA</t>
  </si>
  <si>
    <t>ANTALYA</t>
  </si>
  <si>
    <t>ARDAHAN</t>
  </si>
  <si>
    <t>ARTVİN</t>
  </si>
  <si>
    <t>AYDIN</t>
  </si>
  <si>
    <t>AĞRI</t>
  </si>
  <si>
    <t>BALIKESİR</t>
  </si>
  <si>
    <t>BARTIN</t>
  </si>
  <si>
    <t>BATMAN</t>
  </si>
  <si>
    <t>BAYBURT</t>
  </si>
  <si>
    <t>BOLU</t>
  </si>
  <si>
    <t>BURDUR</t>
  </si>
  <si>
    <t>BURSA</t>
  </si>
  <si>
    <t>BİLECİK</t>
  </si>
  <si>
    <t>BİNGÖL</t>
  </si>
  <si>
    <t>BİTLİS</t>
  </si>
  <si>
    <t>DENİZLİ</t>
  </si>
  <si>
    <t>DÜZCE</t>
  </si>
  <si>
    <t>DİYARBAKIR</t>
  </si>
  <si>
    <t>EDİRNE</t>
  </si>
  <si>
    <t>ELAZIĞ</t>
  </si>
  <si>
    <t>ERZURUM</t>
  </si>
  <si>
    <t>ERZİNCAN</t>
  </si>
  <si>
    <t>ESKİŞEHİR</t>
  </si>
  <si>
    <t>GAZİANTEP</t>
  </si>
  <si>
    <t>GÜMÜŞHANE</t>
  </si>
  <si>
    <t>GİRESUN</t>
  </si>
  <si>
    <t>HAKKARİ</t>
  </si>
  <si>
    <t>HATAY</t>
  </si>
  <si>
    <t>ISPARTA</t>
  </si>
  <si>
    <t>IĞDIR</t>
  </si>
  <si>
    <t>KAHRAMANMARAŞ</t>
  </si>
  <si>
    <t>KARABÜK</t>
  </si>
  <si>
    <t>KARAMAN</t>
  </si>
  <si>
    <t>KARS</t>
  </si>
  <si>
    <t>KASTAMONU</t>
  </si>
  <si>
    <t>KAYSERİ</t>
  </si>
  <si>
    <t>KIRIKKALE</t>
  </si>
  <si>
    <t>KIRKLARELİ</t>
  </si>
  <si>
    <t>KIRŞEHİR</t>
  </si>
  <si>
    <t>KOCAELİ</t>
  </si>
  <si>
    <t>KONYA</t>
  </si>
  <si>
    <t>KÜTAHYA</t>
  </si>
  <si>
    <t>KİLİS</t>
  </si>
  <si>
    <t>MALATYA</t>
  </si>
  <si>
    <t>MANİSA</t>
  </si>
  <si>
    <t>MARDİN</t>
  </si>
  <si>
    <t>MERSİN</t>
  </si>
  <si>
    <t>MUĞLA</t>
  </si>
  <si>
    <t>MUŞ</t>
  </si>
  <si>
    <t>NEVŞEHİR</t>
  </si>
  <si>
    <t>NİĞDE</t>
  </si>
  <si>
    <t>ORDU</t>
  </si>
  <si>
    <t>OSMANİYE</t>
  </si>
  <si>
    <t>RİZE</t>
  </si>
  <si>
    <t>SAKARYA</t>
  </si>
  <si>
    <t>SAMSUN</t>
  </si>
  <si>
    <t>SİNOP</t>
  </si>
  <si>
    <t>SİVAS</t>
  </si>
  <si>
    <t>SİİRT</t>
  </si>
  <si>
    <t>TEKİRDAĞ</t>
  </si>
  <si>
    <t>TOKAT</t>
  </si>
  <si>
    <t>TRABZON</t>
  </si>
  <si>
    <t>TUNCELİ</t>
  </si>
  <si>
    <t>UŞAK</t>
  </si>
  <si>
    <t>VAN</t>
  </si>
  <si>
    <t>YALOVA</t>
  </si>
  <si>
    <t>YOZGAT</t>
  </si>
  <si>
    <t>ZONGULDAK</t>
  </si>
  <si>
    <t>ÇANAKKALE</t>
  </si>
  <si>
    <t>ÇANKIRI</t>
  </si>
  <si>
    <t>ÇORUM</t>
  </si>
  <si>
    <t>İZMİR</t>
  </si>
  <si>
    <t>ŞANLIURFA</t>
  </si>
  <si>
    <t>ŞIRNAK</t>
  </si>
  <si>
    <t>Bölge</t>
  </si>
  <si>
    <t>İl</t>
  </si>
  <si>
    <t>İSKENDERUN</t>
  </si>
  <si>
    <t>ELBİSTAN</t>
  </si>
  <si>
    <t>TATVAN</t>
  </si>
  <si>
    <t>İZMİT</t>
  </si>
  <si>
    <t>ÇATALCA</t>
  </si>
  <si>
    <t>Akdeniz</t>
  </si>
  <si>
    <t>Doğu Anadolu</t>
  </si>
  <si>
    <t>Ege</t>
  </si>
  <si>
    <t>Güneydoğu Anadolu</t>
  </si>
  <si>
    <t>İç Anadolu</t>
  </si>
  <si>
    <t>Karadeniz</t>
  </si>
  <si>
    <t>Marmara</t>
  </si>
  <si>
    <t>Adana</t>
  </si>
  <si>
    <t>Adıyaman</t>
  </si>
  <si>
    <t>Afyonkarahisar</t>
  </si>
  <si>
    <t>Ağrı</t>
  </si>
  <si>
    <t>Amasya</t>
  </si>
  <si>
    <t>Ankara</t>
  </si>
  <si>
    <t>Antalya</t>
  </si>
  <si>
    <t>Artvin</t>
  </si>
  <si>
    <t>Aydın</t>
  </si>
  <si>
    <t>Balıkesir</t>
  </si>
  <si>
    <t>Bilecik</t>
  </si>
  <si>
    <t>Bingöl</t>
  </si>
  <si>
    <t>Bitlis</t>
  </si>
  <si>
    <t>Bolu</t>
  </si>
  <si>
    <t>Burdur</t>
  </si>
  <si>
    <t>Bursa</t>
  </si>
  <si>
    <t>Çanakkale</t>
  </si>
  <si>
    <t>Çankırı</t>
  </si>
  <si>
    <t>Çorum</t>
  </si>
  <si>
    <t>Denizli</t>
  </si>
  <si>
    <t>Diyarbakır</t>
  </si>
  <si>
    <t>Edirne</t>
  </si>
  <si>
    <t>Elazığ</t>
  </si>
  <si>
    <t>Erzincan</t>
  </si>
  <si>
    <t>Erzurum</t>
  </si>
  <si>
    <t>Eskişehir</t>
  </si>
  <si>
    <t>Gaziantep</t>
  </si>
  <si>
    <t>Giresun</t>
  </si>
  <si>
    <t>Gümüşhane</t>
  </si>
  <si>
    <t>Hakkari</t>
  </si>
  <si>
    <t>Hatay</t>
  </si>
  <si>
    <t>Isparta</t>
  </si>
  <si>
    <t>Mersin</t>
  </si>
  <si>
    <t>İstanbul</t>
  </si>
  <si>
    <t>İzmir</t>
  </si>
  <si>
    <t>Kars</t>
  </si>
  <si>
    <t>Kastamonu</t>
  </si>
  <si>
    <t>Kayseri</t>
  </si>
  <si>
    <t>Kırklareli</t>
  </si>
  <si>
    <t>Kırşehir</t>
  </si>
  <si>
    <t>Kocaeli</t>
  </si>
  <si>
    <t>Konya</t>
  </si>
  <si>
    <t>Kütahya</t>
  </si>
  <si>
    <t>Malatya</t>
  </si>
  <si>
    <t>Manisa</t>
  </si>
  <si>
    <t>Kahramanmaraş</t>
  </si>
  <si>
    <t>Mardin</t>
  </si>
  <si>
    <t>Muğla</t>
  </si>
  <si>
    <t>Muş</t>
  </si>
  <si>
    <t>Nevşehir</t>
  </si>
  <si>
    <t>Niğde</t>
  </si>
  <si>
    <t>Ordu</t>
  </si>
  <si>
    <t>Rize</t>
  </si>
  <si>
    <t>Sakarya</t>
  </si>
  <si>
    <t>Samsun</t>
  </si>
  <si>
    <t>Siirt</t>
  </si>
  <si>
    <t>Sinop</t>
  </si>
  <si>
    <t>Sivas</t>
  </si>
  <si>
    <t>Tekirdağ</t>
  </si>
  <si>
    <t>Tokat</t>
  </si>
  <si>
    <t>Trabzon</t>
  </si>
  <si>
    <t>Tunceli</t>
  </si>
  <si>
    <t>Şanlıurfa</t>
  </si>
  <si>
    <t>Uşak</t>
  </si>
  <si>
    <t>Van</t>
  </si>
  <si>
    <t>Yozgat</t>
  </si>
  <si>
    <t>Zonguldak</t>
  </si>
  <si>
    <t>Aksaray</t>
  </si>
  <si>
    <t>Bayburt</t>
  </si>
  <si>
    <t>Karaman</t>
  </si>
  <si>
    <t>Kırıkkale</t>
  </si>
  <si>
    <t>Batman</t>
  </si>
  <si>
    <t>Şırnak</t>
  </si>
  <si>
    <t>Bartın</t>
  </si>
  <si>
    <t>Ardahan</t>
  </si>
  <si>
    <t>Iğdır</t>
  </si>
  <si>
    <t>Yalova</t>
  </si>
  <si>
    <t>Karabük</t>
  </si>
  <si>
    <t>Kilis</t>
  </si>
  <si>
    <t>Osmaniye</t>
  </si>
  <si>
    <t>Düzce</t>
  </si>
  <si>
    <t>Yıl</t>
  </si>
  <si>
    <t>Nüfus</t>
  </si>
  <si>
    <t>İSTANBUL</t>
  </si>
  <si>
    <t>X</t>
  </si>
  <si>
    <t>Y</t>
  </si>
  <si>
    <t>Alt Sınır</t>
  </si>
  <si>
    <t>Üst Sınır</t>
  </si>
  <si>
    <t>Orijinal Dizi</t>
  </si>
  <si>
    <t>Dizinin Tersi</t>
  </si>
  <si>
    <t>İki Dizinin Çarpımı</t>
  </si>
  <si>
    <t>Deney-1</t>
  </si>
  <si>
    <t>Deney-2</t>
  </si>
  <si>
    <t>Deney-3</t>
  </si>
  <si>
    <t>Anova: Tek Etken</t>
  </si>
  <si>
    <t>ÖZET</t>
  </si>
  <si>
    <t>Gruplar</t>
  </si>
  <si>
    <t>Say</t>
  </si>
  <si>
    <t>Toplam</t>
  </si>
  <si>
    <t>Ortalama</t>
  </si>
  <si>
    <t>Varyans</t>
  </si>
  <si>
    <t>ANOVA</t>
  </si>
  <si>
    <t>Varyans Kaynağı</t>
  </si>
  <si>
    <t>SS</t>
  </si>
  <si>
    <t>df</t>
  </si>
  <si>
    <t>MS</t>
  </si>
  <si>
    <t>F</t>
  </si>
  <si>
    <t>P-değeri</t>
  </si>
  <si>
    <t>F ölçütü</t>
  </si>
  <si>
    <t>Gruplar Arasında</t>
  </si>
  <si>
    <t>Gruplar İçinde</t>
  </si>
  <si>
    <t>Etiketler</t>
  </si>
  <si>
    <t>Karar Değişkenleri</t>
  </si>
  <si>
    <t>X(1)</t>
  </si>
  <si>
    <t>X(2)</t>
  </si>
  <si>
    <t>X(3)</t>
  </si>
  <si>
    <t>X(4)</t>
  </si>
  <si>
    <t>X(5)</t>
  </si>
  <si>
    <t>X(6)</t>
  </si>
  <si>
    <t>Amaç Fonksiyonu</t>
  </si>
  <si>
    <t>Kısıt-1</t>
  </si>
  <si>
    <t>Kısıt-2</t>
  </si>
  <si>
    <t>Kısıt-3</t>
  </si>
  <si>
    <t>Kısıt-4</t>
  </si>
  <si>
    <t>Kısıt-5</t>
  </si>
  <si>
    <t>Kısıt-6</t>
  </si>
  <si>
    <t>Satır Etiketleri</t>
  </si>
  <si>
    <t>Genel Toplam</t>
  </si>
  <si>
    <t>Sütun Etiketleri</t>
  </si>
  <si>
    <t>Toplam Nüfus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</si>
</sst>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indexed="8"/>
      <name val="Calibri"/>
      <family val="2"/>
      <charset val="162"/>
    </font>
    <font>
      <sz val="10"/>
      <color indexed="8"/>
      <name val="Arial"/>
      <family val="2"/>
      <charset val="162"/>
    </font>
    <font>
      <sz val="12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i/>
      <sz val="11"/>
      <color theme="1"/>
      <name val="Calibri"/>
      <family val="2"/>
      <charset val="162"/>
      <scheme val="minor"/>
    </font>
    <font>
      <sz val="10"/>
      <color theme="1"/>
      <name val="Arial Unicode MS"/>
      <family val="2"/>
      <charset val="162"/>
    </font>
    <font>
      <b/>
      <sz val="11"/>
      <color indexed="8"/>
      <name val="Calibri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7">
    <xf numFmtId="0" fontId="0" fillId="0" borderId="0" xfId="0"/>
    <xf numFmtId="0" fontId="1" fillId="0" borderId="0" xfId="0" applyFont="1"/>
    <xf numFmtId="0" fontId="2" fillId="0" borderId="1" xfId="1" applyFont="1" applyBorder="1" applyAlignment="1">
      <alignment wrapText="1"/>
    </xf>
    <xf numFmtId="0" fontId="4" fillId="0" borderId="0" xfId="0" applyFont="1"/>
    <xf numFmtId="0" fontId="1" fillId="0" borderId="0" xfId="0" applyFont="1" applyAlignment="1">
      <alignment horizontal="center"/>
    </xf>
    <xf numFmtId="0" fontId="0" fillId="2" borderId="0" xfId="0" applyFill="1"/>
    <xf numFmtId="164" fontId="0" fillId="0" borderId="0" xfId="0" applyNumberFormat="1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/>
    <xf numFmtId="0" fontId="0" fillId="0" borderId="2" xfId="0" applyBorder="1"/>
    <xf numFmtId="0" fontId="6" fillId="0" borderId="3" xfId="0" applyFont="1" applyBorder="1" applyAlignment="1">
      <alignment horizontal="center"/>
    </xf>
    <xf numFmtId="0" fontId="7" fillId="0" borderId="0" xfId="0" applyFont="1" applyAlignment="1">
      <alignment vertical="center"/>
    </xf>
    <xf numFmtId="0" fontId="8" fillId="0" borderId="1" xfId="1" applyFont="1" applyBorder="1" applyAlignment="1">
      <alignment horizontal="left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2">
    <cellStyle name="Normal" xfId="0" builtinId="0"/>
    <cellStyle name="Normal_Sayfa4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1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'Soru-1'!$B$1</c:f>
              <c:strCache>
                <c:ptCount val="1"/>
                <c:pt idx="0">
                  <c:v>Y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ash"/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ash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0.20647382365433228"/>
                  <c:y val="-0.6795840815206064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20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tr-TR"/>
                </a:p>
              </c:txPr>
            </c:trendlineLbl>
          </c:trendline>
          <c:xVal>
            <c:numRef>
              <c:f>'Soru-1'!$A$2:$A$42</c:f>
              <c:numCache>
                <c:formatCode>General</c:formatCode>
                <c:ptCount val="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</c:numCache>
            </c:numRef>
          </c:xVal>
          <c:yVal>
            <c:numRef>
              <c:f>'Soru-1'!$B$2:$B$42</c:f>
              <c:numCache>
                <c:formatCode>General</c:formatCode>
                <c:ptCount val="41"/>
                <c:pt idx="0">
                  <c:v>2.0039952687239637</c:v>
                </c:pt>
                <c:pt idx="1">
                  <c:v>1.6401157843398664</c:v>
                </c:pt>
                <c:pt idx="2">
                  <c:v>1.3448791215506697</c:v>
                </c:pt>
                <c:pt idx="3">
                  <c:v>1.1075515492358263</c:v>
                </c:pt>
                <c:pt idx="4">
                  <c:v>0.90832986266284377</c:v>
                </c:pt>
                <c:pt idx="5">
                  <c:v>0.74313197752213289</c:v>
                </c:pt>
                <c:pt idx="6">
                  <c:v>0.60251000439934033</c:v>
                </c:pt>
                <c:pt idx="7">
                  <c:v>0.49354884469176702</c:v>
                </c:pt>
                <c:pt idx="8">
                  <c:v>0.41213738074049522</c:v>
                </c:pt>
                <c:pt idx="9">
                  <c:v>0.33383318195926698</c:v>
                </c:pt>
                <c:pt idx="10">
                  <c:v>0.27236062667761585</c:v>
                </c:pt>
                <c:pt idx="11">
                  <c:v>0.22409835799518232</c:v>
                </c:pt>
                <c:pt idx="12">
                  <c:v>0.18753219610315425</c:v>
                </c:pt>
                <c:pt idx="13">
                  <c:v>0.15244825968721329</c:v>
                </c:pt>
                <c:pt idx="14">
                  <c:v>0.1293086297182425</c:v>
                </c:pt>
                <c:pt idx="15">
                  <c:v>0.10303424581270904</c:v>
                </c:pt>
                <c:pt idx="16">
                  <c:v>9.0265483796950291E-2</c:v>
                </c:pt>
                <c:pt idx="17">
                  <c:v>6.754426482866982E-2</c:v>
                </c:pt>
                <c:pt idx="18">
                  <c:v>6.2613314819423324E-2</c:v>
                </c:pt>
                <c:pt idx="19">
                  <c:v>5.1512086604836069E-2</c:v>
                </c:pt>
                <c:pt idx="20">
                  <c:v>4.0689818353857425E-2</c:v>
                </c:pt>
                <c:pt idx="21">
                  <c:v>3.651022965316858E-2</c:v>
                </c:pt>
                <c:pt idx="22">
                  <c:v>2.9633520364757891E-2</c:v>
                </c:pt>
                <c:pt idx="23">
                  <c:v>2.2773775262344295E-2</c:v>
                </c:pt>
                <c:pt idx="24">
                  <c:v>2.3067739068037663E-2</c:v>
                </c:pt>
                <c:pt idx="25">
                  <c:v>1.4893851775486076E-2</c:v>
                </c:pt>
                <c:pt idx="26">
                  <c:v>1.5155959183096618E-2</c:v>
                </c:pt>
                <c:pt idx="27">
                  <c:v>1.9022425545934495E-2</c:v>
                </c:pt>
                <c:pt idx="28">
                  <c:v>1.2759275328632112E-2</c:v>
                </c:pt>
                <c:pt idx="29">
                  <c:v>1.5640312101356139E-2</c:v>
                </c:pt>
                <c:pt idx="30">
                  <c:v>9.5460959028295378E-3</c:v>
                </c:pt>
                <c:pt idx="31">
                  <c:v>5.5054833232495897E-3</c:v>
                </c:pt>
                <c:pt idx="32">
                  <c:v>7.6190241509844735E-3</c:v>
                </c:pt>
                <c:pt idx="33">
                  <c:v>1.1568118123585266E-2</c:v>
                </c:pt>
                <c:pt idx="34">
                  <c:v>5.3550389220196216E-3</c:v>
                </c:pt>
                <c:pt idx="35">
                  <c:v>2.1869570096370149E-3</c:v>
                </c:pt>
                <c:pt idx="36">
                  <c:v>7.6718570947316269E-3</c:v>
                </c:pt>
                <c:pt idx="37">
                  <c:v>5.9524493794867279E-3</c:v>
                </c:pt>
                <c:pt idx="38">
                  <c:v>4.1685831646705524E-3</c:v>
                </c:pt>
                <c:pt idx="39">
                  <c:v>8.4974414660223107E-3</c:v>
                </c:pt>
                <c:pt idx="40">
                  <c:v>1.0551374561259588E-2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FA8-4555-A886-82B668CB3C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2238448"/>
        <c:axId val="382257648"/>
      </c:scatterChart>
      <c:valAx>
        <c:axId val="382238448"/>
        <c:scaling>
          <c:orientation val="minMax"/>
          <c:max val="4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382257648"/>
        <c:crosses val="autoZero"/>
        <c:crossBetween val="midCat"/>
      </c:valAx>
      <c:valAx>
        <c:axId val="382257648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382238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[241203049-Hasan Ömer UTANÇ.xlsx]Soru-5 (Pivot)!PivotTable1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tr-TR"/>
              <a:t>Yıllara Göre Bölge Nüfusları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'Soru-5 (Pivot)'!$B$3:$B$4</c:f>
              <c:strCache>
                <c:ptCount val="1"/>
                <c:pt idx="0">
                  <c:v>2000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'Soru-5 (Pivot)'!$A$5:$A$12</c:f>
              <c:strCache>
                <c:ptCount val="7"/>
                <c:pt idx="0">
                  <c:v>Marmara</c:v>
                </c:pt>
                <c:pt idx="1">
                  <c:v>İç Anadolu</c:v>
                </c:pt>
                <c:pt idx="2">
                  <c:v>Ege</c:v>
                </c:pt>
                <c:pt idx="3">
                  <c:v>Akdeniz</c:v>
                </c:pt>
                <c:pt idx="4">
                  <c:v>Karadeniz</c:v>
                </c:pt>
                <c:pt idx="5">
                  <c:v>Güneydoğu Anadolu</c:v>
                </c:pt>
                <c:pt idx="6">
                  <c:v>Doğu Anadolu</c:v>
                </c:pt>
              </c:strCache>
            </c:strRef>
          </c:cat>
          <c:val>
            <c:numRef>
              <c:f>'Soru-5 (Pivot)'!$B$5:$B$12</c:f>
              <c:numCache>
                <c:formatCode>General</c:formatCode>
                <c:ptCount val="7"/>
                <c:pt idx="0">
                  <c:v>17365027</c:v>
                </c:pt>
                <c:pt idx="1">
                  <c:v>11608868</c:v>
                </c:pt>
                <c:pt idx="2">
                  <c:v>8938781</c:v>
                </c:pt>
                <c:pt idx="3">
                  <c:v>8706005</c:v>
                </c:pt>
                <c:pt idx="4">
                  <c:v>8439213</c:v>
                </c:pt>
                <c:pt idx="5">
                  <c:v>6608619</c:v>
                </c:pt>
                <c:pt idx="6">
                  <c:v>6137414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E1-4E4F-8A90-C86F9C1917BB}"/>
            </c:ext>
          </c:extLst>
        </c:ser>
        <c:ser>
          <c:idx val="1"/>
          <c:order val="1"/>
          <c:tx>
            <c:strRef>
              <c:f>'Soru-5 (Pivot)'!$C$3:$C$4</c:f>
              <c:strCache>
                <c:ptCount val="1"/>
                <c:pt idx="0">
                  <c:v>2010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'Soru-5 (Pivot)'!$A$5:$A$12</c:f>
              <c:strCache>
                <c:ptCount val="7"/>
                <c:pt idx="0">
                  <c:v>Marmara</c:v>
                </c:pt>
                <c:pt idx="1">
                  <c:v>İç Anadolu</c:v>
                </c:pt>
                <c:pt idx="2">
                  <c:v>Ege</c:v>
                </c:pt>
                <c:pt idx="3">
                  <c:v>Akdeniz</c:v>
                </c:pt>
                <c:pt idx="4">
                  <c:v>Karadeniz</c:v>
                </c:pt>
                <c:pt idx="5">
                  <c:v>Güneydoğu Anadolu</c:v>
                </c:pt>
                <c:pt idx="6">
                  <c:v>Doğu Anadolu</c:v>
                </c:pt>
              </c:strCache>
            </c:strRef>
          </c:cat>
          <c:val>
            <c:numRef>
              <c:f>'Soru-5 (Pivot)'!$C$5:$C$12</c:f>
              <c:numCache>
                <c:formatCode>General</c:formatCode>
                <c:ptCount val="7"/>
                <c:pt idx="0">
                  <c:v>21887360</c:v>
                </c:pt>
                <c:pt idx="1">
                  <c:v>11811112</c:v>
                </c:pt>
                <c:pt idx="2">
                  <c:v>9693594</c:v>
                </c:pt>
                <c:pt idx="3">
                  <c:v>9423231</c:v>
                </c:pt>
                <c:pt idx="4">
                  <c:v>7539694</c:v>
                </c:pt>
                <c:pt idx="5">
                  <c:v>7592772</c:v>
                </c:pt>
                <c:pt idx="6">
                  <c:v>5775225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E1-4E4F-8A90-C86F9C1917BB}"/>
            </c:ext>
          </c:extLst>
        </c:ser>
        <c:ser>
          <c:idx val="2"/>
          <c:order val="2"/>
          <c:tx>
            <c:strRef>
              <c:f>'Soru-5 (Pivot)'!$D$3:$D$4</c:f>
              <c:strCache>
                <c:ptCount val="1"/>
                <c:pt idx="0">
                  <c:v>2020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'Soru-5 (Pivot)'!$A$5:$A$12</c:f>
              <c:strCache>
                <c:ptCount val="7"/>
                <c:pt idx="0">
                  <c:v>Marmara</c:v>
                </c:pt>
                <c:pt idx="1">
                  <c:v>İç Anadolu</c:v>
                </c:pt>
                <c:pt idx="2">
                  <c:v>Ege</c:v>
                </c:pt>
                <c:pt idx="3">
                  <c:v>Akdeniz</c:v>
                </c:pt>
                <c:pt idx="4">
                  <c:v>Karadeniz</c:v>
                </c:pt>
                <c:pt idx="5">
                  <c:v>Güneydoğu Anadolu</c:v>
                </c:pt>
                <c:pt idx="6">
                  <c:v>Doğu Anadolu</c:v>
                </c:pt>
              </c:strCache>
            </c:strRef>
          </c:cat>
          <c:val>
            <c:numRef>
              <c:f>'Soru-5 (Pivot)'!$D$5:$D$12</c:f>
              <c:numCache>
                <c:formatCode>General</c:formatCode>
                <c:ptCount val="7"/>
                <c:pt idx="0">
                  <c:v>25731357</c:v>
                </c:pt>
                <c:pt idx="1">
                  <c:v>13337745</c:v>
                </c:pt>
                <c:pt idx="2">
                  <c:v>10689115</c:v>
                </c:pt>
                <c:pt idx="3">
                  <c:v>10759218</c:v>
                </c:pt>
                <c:pt idx="4">
                  <c:v>7916169</c:v>
                </c:pt>
                <c:pt idx="5">
                  <c:v>9118921</c:v>
                </c:pt>
                <c:pt idx="6">
                  <c:v>6061837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E1-4E4F-8A90-C86F9C1917BB}"/>
            </c:ext>
          </c:extLst>
        </c:ser>
        <c:ser>
          <c:idx val="3"/>
          <c:order val="3"/>
          <c:tx>
            <c:strRef>
              <c:f>'Soru-5 (Pivot)'!$E$3:$E$4</c:f>
              <c:strCache>
                <c:ptCount val="1"/>
                <c:pt idx="0">
                  <c:v>2024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'Soru-5 (Pivot)'!$A$5:$A$12</c:f>
              <c:strCache>
                <c:ptCount val="7"/>
                <c:pt idx="0">
                  <c:v>Marmara</c:v>
                </c:pt>
                <c:pt idx="1">
                  <c:v>İç Anadolu</c:v>
                </c:pt>
                <c:pt idx="2">
                  <c:v>Ege</c:v>
                </c:pt>
                <c:pt idx="3">
                  <c:v>Akdeniz</c:v>
                </c:pt>
                <c:pt idx="4">
                  <c:v>Karadeniz</c:v>
                </c:pt>
                <c:pt idx="5">
                  <c:v>Güneydoğu Anadolu</c:v>
                </c:pt>
                <c:pt idx="6">
                  <c:v>Doğu Anadolu</c:v>
                </c:pt>
              </c:strCache>
            </c:strRef>
          </c:cat>
          <c:val>
            <c:numRef>
              <c:f>'Soru-5 (Pivot)'!$E$5:$E$12</c:f>
              <c:numCache>
                <c:formatCode>General</c:formatCode>
                <c:ptCount val="7"/>
                <c:pt idx="0">
                  <c:v>26549840</c:v>
                </c:pt>
                <c:pt idx="1">
                  <c:v>13738834</c:v>
                </c:pt>
                <c:pt idx="2">
                  <c:v>10974357</c:v>
                </c:pt>
                <c:pt idx="3">
                  <c:v>10936452</c:v>
                </c:pt>
                <c:pt idx="4">
                  <c:v>8041912</c:v>
                </c:pt>
                <c:pt idx="5">
                  <c:v>9490286</c:v>
                </c:pt>
                <c:pt idx="6">
                  <c:v>5933263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6E1-4E4F-8A90-C86F9C1917BB}"/>
            </c:ext>
          </c:extLst>
        </c:ser>
        <c:ser>
          <c:idx val="4"/>
          <c:order val="4"/>
          <c:tx>
            <c:strRef>
              <c:f>'Soru-5 (Pivot)'!$F$3:$F$4</c:f>
              <c:strCache>
                <c:ptCount val="1"/>
                <c:pt idx="0">
                  <c:v>2025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'Soru-5 (Pivot)'!$A$5:$A$12</c:f>
              <c:strCache>
                <c:ptCount val="7"/>
                <c:pt idx="0">
                  <c:v>Marmara</c:v>
                </c:pt>
                <c:pt idx="1">
                  <c:v>İç Anadolu</c:v>
                </c:pt>
                <c:pt idx="2">
                  <c:v>Ege</c:v>
                </c:pt>
                <c:pt idx="3">
                  <c:v>Akdeniz</c:v>
                </c:pt>
                <c:pt idx="4">
                  <c:v>Karadeniz</c:v>
                </c:pt>
                <c:pt idx="5">
                  <c:v>Güneydoğu Anadolu</c:v>
                </c:pt>
                <c:pt idx="6">
                  <c:v>Doğu Anadolu</c:v>
                </c:pt>
              </c:strCache>
            </c:strRef>
          </c:cat>
          <c:val>
            <c:numRef>
              <c:f>'Soru-5 (Pivot)'!$F$5:$F$12</c:f>
              <c:numCache>
                <c:formatCode>General</c:formatCode>
                <c:ptCount val="7"/>
                <c:pt idx="0">
                  <c:v>26711525</c:v>
                </c:pt>
                <c:pt idx="1">
                  <c:v>13809574</c:v>
                </c:pt>
                <c:pt idx="2">
                  <c:v>11011261</c:v>
                </c:pt>
                <c:pt idx="3">
                  <c:v>11028175</c:v>
                </c:pt>
                <c:pt idx="4">
                  <c:v>8041038</c:v>
                </c:pt>
                <c:pt idx="5">
                  <c:v>9587992</c:v>
                </c:pt>
                <c:pt idx="6">
                  <c:v>5902603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6E1-4E4F-8A90-C86F9C1917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3765120"/>
        <c:axId val="43766080"/>
        <c:axId val="622949712"/>
      </c:bar3DChart>
      <c:catAx>
        <c:axId val="43765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43766080"/>
        <c:crosses val="autoZero"/>
        <c:auto val="1"/>
        <c:lblAlgn val="ctr"/>
        <c:lblOffset val="100"/>
        <c:noMultiLvlLbl val="0"/>
      </c:catAx>
      <c:valAx>
        <c:axId val="43766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43765120"/>
        <c:crosses val="autoZero"/>
        <c:crossBetween val="between"/>
      </c:valAx>
      <c:serAx>
        <c:axId val="622949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43766080"/>
        <c:crosses val="autoZero"/>
      </c:ser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tr-TR"/>
    </a:p>
  </c:txPr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C6F718F-42C1-4DD0-BB9C-7B300949335D}">
  <sheetPr/>
  <sheetViews>
    <sheetView zoomScale="17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193299</xdr:colOff>
      <xdr:row>0</xdr:row>
      <xdr:rowOff>73118</xdr:rowOff>
    </xdr:from>
    <xdr:to>
      <xdr:col>14</xdr:col>
      <xdr:colOff>240924</xdr:colOff>
      <xdr:row>30</xdr:row>
      <xdr:rowOff>106456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93F6EC43-91B8-3905-E659-08DDB5B446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9263" cy="6072876"/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B9AD159A-CB46-2D9E-7460-7CC6510A632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lil çiçek" refreshedDate="46150.961714467594" createdVersion="8" refreshedVersion="8" minRefreshableVersion="3" recordCount="405" xr:uid="{4052545E-6208-4772-89B1-0C6793A57E8B}">
  <cacheSource type="worksheet">
    <worksheetSource ref="A1:D406" sheet="Soru-5"/>
  </cacheSource>
  <cacheFields count="4">
    <cacheField name="Yıl" numFmtId="0">
      <sharedItems containsSemiMixedTypes="0" containsString="0" containsNumber="1" containsInteger="1" minValue="2000" maxValue="2025" count="5">
        <n v="2000"/>
        <n v="2010"/>
        <n v="2020"/>
        <n v="2024"/>
        <n v="2025"/>
      </sharedItems>
    </cacheField>
    <cacheField name="İl" numFmtId="0">
      <sharedItems/>
    </cacheField>
    <cacheField name="Nüfus" numFmtId="0">
      <sharedItems containsSemiMixedTypes="0" containsString="0" containsNumber="1" containsInteger="1" minValue="74412" maxValue="15754053"/>
    </cacheField>
    <cacheField name="Bölge" numFmtId="0">
      <sharedItems count="7">
        <s v="Akdeniz"/>
        <s v="Güneydoğu Anadolu"/>
        <s v="Ege"/>
        <s v="Doğu Anadolu"/>
        <s v="İç Anadolu"/>
        <s v="Karadeniz"/>
        <s v="Marmar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5">
  <r>
    <x v="0"/>
    <s v="Adana"/>
    <n v="1849478"/>
    <x v="0"/>
  </r>
  <r>
    <x v="1"/>
    <s v="Adana"/>
    <n v="2085225"/>
    <x v="0"/>
  </r>
  <r>
    <x v="2"/>
    <s v="Adana"/>
    <n v="2258718"/>
    <x v="0"/>
  </r>
  <r>
    <x v="3"/>
    <s v="Adana"/>
    <n v="2280484"/>
    <x v="0"/>
  </r>
  <r>
    <x v="4"/>
    <s v="Adana"/>
    <n v="2283609"/>
    <x v="0"/>
  </r>
  <r>
    <x v="0"/>
    <s v="Adıyaman"/>
    <n v="623811"/>
    <x v="1"/>
  </r>
  <r>
    <x v="1"/>
    <s v="Adıyaman"/>
    <n v="590935"/>
    <x v="1"/>
  </r>
  <r>
    <x v="2"/>
    <s v="Adıyaman"/>
    <n v="632459"/>
    <x v="1"/>
  </r>
  <r>
    <x v="3"/>
    <s v="Adıyaman"/>
    <n v="611037"/>
    <x v="1"/>
  </r>
  <r>
    <x v="4"/>
    <s v="Adıyaman"/>
    <n v="617821"/>
    <x v="1"/>
  </r>
  <r>
    <x v="0"/>
    <s v="Afyonkarahisar"/>
    <n v="812416"/>
    <x v="2"/>
  </r>
  <r>
    <x v="1"/>
    <s v="Afyonkarahisar"/>
    <n v="697559"/>
    <x v="2"/>
  </r>
  <r>
    <x v="2"/>
    <s v="Afyonkarahisar"/>
    <n v="736912"/>
    <x v="2"/>
  </r>
  <r>
    <x v="3"/>
    <s v="Afyonkarahisar"/>
    <n v="750193"/>
    <x v="2"/>
  </r>
  <r>
    <x v="4"/>
    <s v="Afyonkarahisar"/>
    <n v="751808"/>
    <x v="2"/>
  </r>
  <r>
    <x v="0"/>
    <s v="Ağrı"/>
    <n v="528744"/>
    <x v="3"/>
  </r>
  <r>
    <x v="1"/>
    <s v="Ağrı"/>
    <n v="542022"/>
    <x v="3"/>
  </r>
  <r>
    <x v="2"/>
    <s v="Ağrı"/>
    <n v="535435"/>
    <x v="3"/>
  </r>
  <r>
    <x v="3"/>
    <s v="Ağrı"/>
    <n v="499801"/>
    <x v="3"/>
  </r>
  <r>
    <x v="4"/>
    <s v="Ağrı"/>
    <n v="491489"/>
    <x v="3"/>
  </r>
  <r>
    <x v="0"/>
    <s v="Aksaray"/>
    <n v="396084"/>
    <x v="4"/>
  </r>
  <r>
    <x v="1"/>
    <s v="Aksaray"/>
    <n v="377505"/>
    <x v="4"/>
  </r>
  <r>
    <x v="2"/>
    <s v="Aksaray"/>
    <n v="423011"/>
    <x v="4"/>
  </r>
  <r>
    <x v="3"/>
    <s v="Aksaray"/>
    <n v="439474"/>
    <x v="4"/>
  </r>
  <r>
    <x v="4"/>
    <s v="Aksaray"/>
    <n v="441136"/>
    <x v="4"/>
  </r>
  <r>
    <x v="0"/>
    <s v="Amasya"/>
    <n v="365231"/>
    <x v="5"/>
  </r>
  <r>
    <x v="1"/>
    <s v="Amasya"/>
    <n v="334786"/>
    <x v="5"/>
  </r>
  <r>
    <x v="2"/>
    <s v="Amasya"/>
    <n v="335494"/>
    <x v="5"/>
  </r>
  <r>
    <x v="3"/>
    <s v="Amasya"/>
    <n v="342378"/>
    <x v="5"/>
  </r>
  <r>
    <x v="4"/>
    <s v="Amasya"/>
    <n v="342242"/>
    <x v="5"/>
  </r>
  <r>
    <x v="0"/>
    <s v="Ankara"/>
    <n v="4007860"/>
    <x v="4"/>
  </r>
  <r>
    <x v="1"/>
    <s v="Ankara"/>
    <n v="4771716"/>
    <x v="4"/>
  </r>
  <r>
    <x v="2"/>
    <s v="Ankara"/>
    <n v="5663322"/>
    <x v="4"/>
  </r>
  <r>
    <x v="3"/>
    <s v="Ankara"/>
    <n v="5864049"/>
    <x v="4"/>
  </r>
  <r>
    <x v="4"/>
    <s v="Ankara"/>
    <n v="5910320"/>
    <x v="4"/>
  </r>
  <r>
    <x v="0"/>
    <s v="Antalya"/>
    <n v="1719751"/>
    <x v="0"/>
  </r>
  <r>
    <x v="1"/>
    <s v="Antalya"/>
    <n v="1978333"/>
    <x v="0"/>
  </r>
  <r>
    <x v="2"/>
    <s v="Antalya"/>
    <n v="2548308"/>
    <x v="0"/>
  </r>
  <r>
    <x v="3"/>
    <s v="Antalya"/>
    <n v="2722103"/>
    <x v="0"/>
  </r>
  <r>
    <x v="4"/>
    <s v="Antalya"/>
    <n v="2777677"/>
    <x v="0"/>
  </r>
  <r>
    <x v="0"/>
    <s v="Ardahan"/>
    <n v="133756"/>
    <x v="3"/>
  </r>
  <r>
    <x v="1"/>
    <s v="Ardahan"/>
    <n v="105454"/>
    <x v="3"/>
  </r>
  <r>
    <x v="2"/>
    <s v="Ardahan"/>
    <n v="96161"/>
    <x v="3"/>
  </r>
  <r>
    <x v="3"/>
    <s v="Ardahan"/>
    <n v="91354"/>
    <x v="3"/>
  </r>
  <r>
    <x v="4"/>
    <s v="Ardahan"/>
    <n v="90392"/>
    <x v="3"/>
  </r>
  <r>
    <x v="0"/>
    <s v="Artvin"/>
    <n v="191934"/>
    <x v="5"/>
  </r>
  <r>
    <x v="1"/>
    <s v="Artvin"/>
    <n v="164759"/>
    <x v="5"/>
  </r>
  <r>
    <x v="2"/>
    <s v="Artvin"/>
    <n v="169501"/>
    <x v="5"/>
  </r>
  <r>
    <x v="3"/>
    <s v="Artvin"/>
    <n v="169280"/>
    <x v="5"/>
  </r>
  <r>
    <x v="4"/>
    <s v="Artvin"/>
    <n v="167531"/>
    <x v="5"/>
  </r>
  <r>
    <x v="0"/>
    <s v="Aydın"/>
    <n v="950757"/>
    <x v="2"/>
  </r>
  <r>
    <x v="1"/>
    <s v="Aydın"/>
    <n v="989862"/>
    <x v="2"/>
  </r>
  <r>
    <x v="2"/>
    <s v="Aydın"/>
    <n v="1119084"/>
    <x v="2"/>
  </r>
  <r>
    <x v="3"/>
    <s v="Aydın"/>
    <n v="1165943"/>
    <x v="2"/>
  </r>
  <r>
    <x v="4"/>
    <s v="Aydın"/>
    <n v="1172107"/>
    <x v="2"/>
  </r>
  <r>
    <x v="0"/>
    <s v="Balıkesir"/>
    <n v="1076347"/>
    <x v="6"/>
  </r>
  <r>
    <x v="1"/>
    <s v="Balıkesir"/>
    <n v="1152323"/>
    <x v="6"/>
  </r>
  <r>
    <x v="2"/>
    <s v="Balıkesir"/>
    <n v="1240285"/>
    <x v="6"/>
  </r>
  <r>
    <x v="3"/>
    <s v="Balıkesir"/>
    <n v="1276096"/>
    <x v="6"/>
  </r>
  <r>
    <x v="4"/>
    <s v="Balıkesir"/>
    <n v="1284517"/>
    <x v="6"/>
  </r>
  <r>
    <x v="0"/>
    <s v="Bartın"/>
    <n v="184178"/>
    <x v="5"/>
  </r>
  <r>
    <x v="1"/>
    <s v="Bartın"/>
    <n v="187758"/>
    <x v="5"/>
  </r>
  <r>
    <x v="2"/>
    <s v="Bartın"/>
    <n v="198979"/>
    <x v="5"/>
  </r>
  <r>
    <x v="3"/>
    <s v="Bartın"/>
    <n v="206715"/>
    <x v="5"/>
  </r>
  <r>
    <x v="4"/>
    <s v="Bartın"/>
    <n v="206663"/>
    <x v="5"/>
  </r>
  <r>
    <x v="0"/>
    <s v="Batman"/>
    <n v="456734"/>
    <x v="1"/>
  </r>
  <r>
    <x v="1"/>
    <s v="Batman"/>
    <n v="510200"/>
    <x v="1"/>
  </r>
  <r>
    <x v="2"/>
    <s v="Batman"/>
    <n v="620278"/>
    <x v="1"/>
  </r>
  <r>
    <x v="3"/>
    <s v="Batman"/>
    <n v="654528"/>
    <x v="1"/>
  </r>
  <r>
    <x v="4"/>
    <s v="Batman"/>
    <n v="662626"/>
    <x v="1"/>
  </r>
  <r>
    <x v="0"/>
    <s v="Bayburt"/>
    <n v="97358"/>
    <x v="5"/>
  </r>
  <r>
    <x v="1"/>
    <s v="Bayburt"/>
    <n v="74412"/>
    <x v="5"/>
  </r>
  <r>
    <x v="2"/>
    <s v="Bayburt"/>
    <n v="81910"/>
    <x v="5"/>
  </r>
  <r>
    <x v="3"/>
    <s v="Bayburt"/>
    <n v="83676"/>
    <x v="5"/>
  </r>
  <r>
    <x v="4"/>
    <s v="Bayburt"/>
    <n v="82836"/>
    <x v="5"/>
  </r>
  <r>
    <x v="0"/>
    <s v="Bilecik"/>
    <n v="194326"/>
    <x v="6"/>
  </r>
  <r>
    <x v="1"/>
    <s v="Bilecik"/>
    <n v="225381"/>
    <x v="6"/>
  </r>
  <r>
    <x v="2"/>
    <s v="Bilecik"/>
    <n v="218717"/>
    <x v="6"/>
  </r>
  <r>
    <x v="3"/>
    <s v="Bilecik"/>
    <n v="228495"/>
    <x v="6"/>
  </r>
  <r>
    <x v="4"/>
    <s v="Bilecik"/>
    <n v="228995"/>
    <x v="6"/>
  </r>
  <r>
    <x v="0"/>
    <s v="Bingöl"/>
    <n v="253739"/>
    <x v="3"/>
  </r>
  <r>
    <x v="1"/>
    <s v="Bingöl"/>
    <n v="255170"/>
    <x v="3"/>
  </r>
  <r>
    <x v="2"/>
    <s v="Bingöl"/>
    <n v="281768"/>
    <x v="3"/>
  </r>
  <r>
    <x v="3"/>
    <s v="Bingöl"/>
    <n v="283276"/>
    <x v="3"/>
  </r>
  <r>
    <x v="4"/>
    <s v="Bingöl"/>
    <n v="282299"/>
    <x v="3"/>
  </r>
  <r>
    <x v="0"/>
    <s v="Bitlis"/>
    <n v="388678"/>
    <x v="3"/>
  </r>
  <r>
    <x v="1"/>
    <s v="Bitlis"/>
    <n v="328767"/>
    <x v="3"/>
  </r>
  <r>
    <x v="2"/>
    <s v="Bitlis"/>
    <n v="350994"/>
    <x v="3"/>
  </r>
  <r>
    <x v="3"/>
    <s v="Bitlis"/>
    <n v="359808"/>
    <x v="3"/>
  </r>
  <r>
    <x v="4"/>
    <s v="Bitlis"/>
    <n v="360423"/>
    <x v="3"/>
  </r>
  <r>
    <x v="0"/>
    <s v="Bolu"/>
    <n v="270654"/>
    <x v="5"/>
  </r>
  <r>
    <x v="1"/>
    <s v="Bolu"/>
    <n v="271208"/>
    <x v="5"/>
  </r>
  <r>
    <x v="2"/>
    <s v="Bolu"/>
    <n v="314802"/>
    <x v="5"/>
  </r>
  <r>
    <x v="3"/>
    <s v="Bolu"/>
    <n v="326409"/>
    <x v="5"/>
  </r>
  <r>
    <x v="4"/>
    <s v="Bolu"/>
    <n v="327173"/>
    <x v="5"/>
  </r>
  <r>
    <x v="0"/>
    <s v="Burdur"/>
    <n v="256803"/>
    <x v="0"/>
  </r>
  <r>
    <x v="1"/>
    <s v="Burdur"/>
    <n v="258868"/>
    <x v="0"/>
  </r>
  <r>
    <x v="2"/>
    <s v="Burdur"/>
    <n v="267092"/>
    <x v="0"/>
  </r>
  <r>
    <x v="3"/>
    <s v="Burdur"/>
    <n v="275826"/>
    <x v="0"/>
  </r>
  <r>
    <x v="4"/>
    <s v="Burdur"/>
    <n v="277226"/>
    <x v="0"/>
  </r>
  <r>
    <x v="0"/>
    <s v="Bursa"/>
    <n v="2125140"/>
    <x v="6"/>
  </r>
  <r>
    <x v="1"/>
    <s v="Bursa"/>
    <n v="2605495"/>
    <x v="6"/>
  </r>
  <r>
    <x v="2"/>
    <s v="Bursa"/>
    <n v="3101833"/>
    <x v="6"/>
  </r>
  <r>
    <x v="3"/>
    <s v="Bursa"/>
    <n v="3238618"/>
    <x v="6"/>
  </r>
  <r>
    <x v="4"/>
    <s v="Bursa"/>
    <n v="3263011"/>
    <x v="6"/>
  </r>
  <r>
    <x v="0"/>
    <s v="Çanakkale"/>
    <n v="464975"/>
    <x v="6"/>
  </r>
  <r>
    <x v="1"/>
    <s v="Çanakkale"/>
    <n v="490397"/>
    <x v="6"/>
  </r>
  <r>
    <x v="2"/>
    <s v="Çanakkale"/>
    <n v="541548"/>
    <x v="6"/>
  </r>
  <r>
    <x v="3"/>
    <s v="Çanakkale"/>
    <n v="568966"/>
    <x v="6"/>
  </r>
  <r>
    <x v="4"/>
    <s v="Çanakkale"/>
    <n v="573976"/>
    <x v="6"/>
  </r>
  <r>
    <x v="0"/>
    <s v="Çankırı"/>
    <n v="270355"/>
    <x v="4"/>
  </r>
  <r>
    <x v="1"/>
    <s v="Çankırı"/>
    <n v="179067"/>
    <x v="4"/>
  </r>
  <r>
    <x v="2"/>
    <s v="Çankırı"/>
    <n v="192428"/>
    <x v="4"/>
  </r>
  <r>
    <x v="3"/>
    <s v="Çankırı"/>
    <n v="199981"/>
    <x v="4"/>
  </r>
  <r>
    <x v="4"/>
    <s v="Çankırı"/>
    <n v="200549"/>
    <x v="4"/>
  </r>
  <r>
    <x v="0"/>
    <s v="Çorum"/>
    <n v="597065"/>
    <x v="5"/>
  </r>
  <r>
    <x v="1"/>
    <s v="Çorum"/>
    <n v="535405"/>
    <x v="5"/>
  </r>
  <r>
    <x v="2"/>
    <s v="Çorum"/>
    <n v="530126"/>
    <x v="5"/>
  </r>
  <r>
    <x v="3"/>
    <s v="Çorum"/>
    <n v="521335"/>
    <x v="5"/>
  </r>
  <r>
    <x v="4"/>
    <s v="Çorum"/>
    <n v="519590"/>
    <x v="5"/>
  </r>
  <r>
    <x v="0"/>
    <s v="Denizli"/>
    <n v="850029"/>
    <x v="2"/>
  </r>
  <r>
    <x v="1"/>
    <s v="Denizli"/>
    <n v="931823"/>
    <x v="2"/>
  </r>
  <r>
    <x v="2"/>
    <s v="Denizli"/>
    <n v="1040915"/>
    <x v="2"/>
  </r>
  <r>
    <x v="3"/>
    <s v="Denizli"/>
    <n v="1061371"/>
    <x v="2"/>
  </r>
  <r>
    <x v="4"/>
    <s v="Denizli"/>
    <n v="1060975"/>
    <x v="2"/>
  </r>
  <r>
    <x v="0"/>
    <s v="Diyarbakır"/>
    <n v="1362708"/>
    <x v="1"/>
  </r>
  <r>
    <x v="1"/>
    <s v="Diyarbakır"/>
    <n v="1528958"/>
    <x v="1"/>
  </r>
  <r>
    <x v="2"/>
    <s v="Diyarbakır"/>
    <n v="1783431"/>
    <x v="1"/>
  </r>
  <r>
    <x v="3"/>
    <s v="Diyarbakır"/>
    <n v="1833684"/>
    <x v="1"/>
  </r>
  <r>
    <x v="4"/>
    <s v="Diyarbakır"/>
    <n v="1852356"/>
    <x v="1"/>
  </r>
  <r>
    <x v="0"/>
    <s v="Düzce"/>
    <n v="314266"/>
    <x v="5"/>
  </r>
  <r>
    <x v="1"/>
    <s v="Düzce"/>
    <n v="338188"/>
    <x v="5"/>
  </r>
  <r>
    <x v="2"/>
    <s v="Düzce"/>
    <n v="395679"/>
    <x v="5"/>
  </r>
  <r>
    <x v="3"/>
    <s v="Düzce"/>
    <n v="412344"/>
    <x v="5"/>
  </r>
  <r>
    <x v="4"/>
    <s v="Düzce"/>
    <n v="415622"/>
    <x v="5"/>
  </r>
  <r>
    <x v="0"/>
    <s v="Edirne"/>
    <n v="402606"/>
    <x v="6"/>
  </r>
  <r>
    <x v="1"/>
    <s v="Edirne"/>
    <n v="390428"/>
    <x v="6"/>
  </r>
  <r>
    <x v="2"/>
    <s v="Edirne"/>
    <n v="407763"/>
    <x v="6"/>
  </r>
  <r>
    <x v="3"/>
    <s v="Edirne"/>
    <n v="421247"/>
    <x v="6"/>
  </r>
  <r>
    <x v="4"/>
    <s v="Edirne"/>
    <n v="422438"/>
    <x v="6"/>
  </r>
  <r>
    <x v="0"/>
    <s v="Elazığ"/>
    <n v="569616"/>
    <x v="3"/>
  </r>
  <r>
    <x v="1"/>
    <s v="Elazığ"/>
    <n v="552646"/>
    <x v="3"/>
  </r>
  <r>
    <x v="2"/>
    <s v="Elazığ"/>
    <n v="587960"/>
    <x v="3"/>
  </r>
  <r>
    <x v="3"/>
    <s v="Elazığ"/>
    <n v="603941"/>
    <x v="3"/>
  </r>
  <r>
    <x v="4"/>
    <s v="Elazığ"/>
    <n v="605678"/>
    <x v="3"/>
  </r>
  <r>
    <x v="0"/>
    <s v="Erzincan"/>
    <n v="316841"/>
    <x v="3"/>
  </r>
  <r>
    <x v="1"/>
    <s v="Erzincan"/>
    <n v="224949"/>
    <x v="3"/>
  </r>
  <r>
    <x v="2"/>
    <s v="Erzincan"/>
    <n v="234431"/>
    <x v="3"/>
  </r>
  <r>
    <x v="3"/>
    <s v="Erzincan"/>
    <n v="241239"/>
    <x v="3"/>
  </r>
  <r>
    <x v="4"/>
    <s v="Erzincan"/>
    <n v="239625"/>
    <x v="3"/>
  </r>
  <r>
    <x v="0"/>
    <s v="Erzurum"/>
    <n v="937389"/>
    <x v="3"/>
  </r>
  <r>
    <x v="1"/>
    <s v="Erzurum"/>
    <n v="769085"/>
    <x v="3"/>
  </r>
  <r>
    <x v="2"/>
    <s v="Erzurum"/>
    <n v="758279"/>
    <x v="3"/>
  </r>
  <r>
    <x v="3"/>
    <s v="Erzurum"/>
    <n v="745005"/>
    <x v="3"/>
  </r>
  <r>
    <x v="4"/>
    <s v="Erzurum"/>
    <n v="736877"/>
    <x v="3"/>
  </r>
  <r>
    <x v="0"/>
    <s v="Eskişehir"/>
    <n v="706009"/>
    <x v="4"/>
  </r>
  <r>
    <x v="1"/>
    <s v="Eskişehir"/>
    <n v="764584"/>
    <x v="4"/>
  </r>
  <r>
    <x v="2"/>
    <s v="Eskişehir"/>
    <n v="888828"/>
    <x v="4"/>
  </r>
  <r>
    <x v="3"/>
    <s v="Eskişehir"/>
    <n v="921630"/>
    <x v="4"/>
  </r>
  <r>
    <x v="4"/>
    <s v="Eskişehir"/>
    <n v="927956"/>
    <x v="4"/>
  </r>
  <r>
    <x v="0"/>
    <s v="Gaziantep"/>
    <n v="1285249"/>
    <x v="1"/>
  </r>
  <r>
    <x v="1"/>
    <s v="Gaziantep"/>
    <n v="1700763"/>
    <x v="1"/>
  </r>
  <r>
    <x v="2"/>
    <s v="Gaziantep"/>
    <n v="2101157"/>
    <x v="1"/>
  </r>
  <r>
    <x v="3"/>
    <s v="Gaziantep"/>
    <n v="2193363"/>
    <x v="1"/>
  </r>
  <r>
    <x v="4"/>
    <s v="Gaziantep"/>
    <n v="2222415"/>
    <x v="1"/>
  </r>
  <r>
    <x v="0"/>
    <s v="Giresun"/>
    <n v="523819"/>
    <x v="5"/>
  </r>
  <r>
    <x v="1"/>
    <s v="Giresun"/>
    <n v="419256"/>
    <x v="5"/>
  </r>
  <r>
    <x v="2"/>
    <s v="Giresun"/>
    <n v="448721"/>
    <x v="5"/>
  </r>
  <r>
    <x v="3"/>
    <s v="Giresun"/>
    <n v="455922"/>
    <x v="5"/>
  </r>
  <r>
    <x v="4"/>
    <s v="Giresun"/>
    <n v="455074"/>
    <x v="5"/>
  </r>
  <r>
    <x v="0"/>
    <s v="Gümüşhane"/>
    <n v="186953"/>
    <x v="5"/>
  </r>
  <r>
    <x v="1"/>
    <s v="Gümüşhane"/>
    <n v="129618"/>
    <x v="5"/>
  </r>
  <r>
    <x v="2"/>
    <s v="Gümüşhane"/>
    <n v="141702"/>
    <x v="5"/>
  </r>
  <r>
    <x v="3"/>
    <s v="Gümüşhane"/>
    <n v="142617"/>
    <x v="5"/>
  </r>
  <r>
    <x v="4"/>
    <s v="Gümüşhane"/>
    <n v="138807"/>
    <x v="5"/>
  </r>
  <r>
    <x v="0"/>
    <s v="Hakkari"/>
    <n v="236581"/>
    <x v="3"/>
  </r>
  <r>
    <x v="1"/>
    <s v="Hakkari"/>
    <n v="251302"/>
    <x v="3"/>
  </r>
  <r>
    <x v="2"/>
    <s v="Hakkari"/>
    <n v="280514"/>
    <x v="3"/>
  </r>
  <r>
    <x v="3"/>
    <s v="Hakkari"/>
    <n v="282191"/>
    <x v="3"/>
  </r>
  <r>
    <x v="4"/>
    <s v="Hakkari"/>
    <n v="279681"/>
    <x v="3"/>
  </r>
  <r>
    <x v="0"/>
    <s v="Hatay"/>
    <n v="1253726"/>
    <x v="0"/>
  </r>
  <r>
    <x v="1"/>
    <s v="Hatay"/>
    <n v="1480571"/>
    <x v="0"/>
  </r>
  <r>
    <x v="2"/>
    <s v="Hatay"/>
    <n v="1659320"/>
    <x v="0"/>
  </r>
  <r>
    <x v="3"/>
    <s v="Hatay"/>
    <n v="1562185"/>
    <x v="0"/>
  </r>
  <r>
    <x v="4"/>
    <s v="Hatay"/>
    <n v="1577531"/>
    <x v="0"/>
  </r>
  <r>
    <x v="0"/>
    <s v="Iğdır"/>
    <n v="168634"/>
    <x v="3"/>
  </r>
  <r>
    <x v="1"/>
    <s v="Iğdır"/>
    <n v="184418"/>
    <x v="3"/>
  </r>
  <r>
    <x v="2"/>
    <s v="Iğdır"/>
    <n v="201314"/>
    <x v="3"/>
  </r>
  <r>
    <x v="3"/>
    <s v="Iğdır"/>
    <n v="206857"/>
    <x v="3"/>
  </r>
  <r>
    <x v="4"/>
    <s v="Iğdır"/>
    <n v="205071"/>
    <x v="3"/>
  </r>
  <r>
    <x v="0"/>
    <s v="Isparta"/>
    <n v="513681"/>
    <x v="0"/>
  </r>
  <r>
    <x v="1"/>
    <s v="Isparta"/>
    <n v="448298"/>
    <x v="0"/>
  </r>
  <r>
    <x v="2"/>
    <s v="Isparta"/>
    <n v="440304"/>
    <x v="0"/>
  </r>
  <r>
    <x v="3"/>
    <s v="Isparta"/>
    <n v="446409"/>
    <x v="0"/>
  </r>
  <r>
    <x v="4"/>
    <s v="Isparta"/>
    <n v="445303"/>
    <x v="0"/>
  </r>
  <r>
    <x v="0"/>
    <s v="İstanbul"/>
    <n v="10018735"/>
    <x v="6"/>
  </r>
  <r>
    <x v="1"/>
    <s v="İstanbul"/>
    <n v="13255685"/>
    <x v="6"/>
  </r>
  <r>
    <x v="2"/>
    <s v="İstanbul"/>
    <n v="15462452"/>
    <x v="6"/>
  </r>
  <r>
    <x v="3"/>
    <s v="İstanbul"/>
    <n v="15701602"/>
    <x v="6"/>
  </r>
  <r>
    <x v="4"/>
    <s v="İstanbul"/>
    <n v="15754053"/>
    <x v="6"/>
  </r>
  <r>
    <x v="0"/>
    <s v="İzmir"/>
    <n v="3370866"/>
    <x v="2"/>
  </r>
  <r>
    <x v="1"/>
    <s v="İzmir"/>
    <n v="3948848"/>
    <x v="2"/>
  </r>
  <r>
    <x v="2"/>
    <s v="İzmir"/>
    <n v="4394694"/>
    <x v="2"/>
  </r>
  <r>
    <x v="3"/>
    <s v="İzmir"/>
    <n v="4493242"/>
    <x v="2"/>
  </r>
  <r>
    <x v="4"/>
    <s v="İzmir"/>
    <n v="4504185"/>
    <x v="2"/>
  </r>
  <r>
    <x v="0"/>
    <s v="Kahramanmaraş"/>
    <n v="1002384"/>
    <x v="0"/>
  </r>
  <r>
    <x v="1"/>
    <s v="Kahramanmaraş"/>
    <n v="1044816"/>
    <x v="0"/>
  </r>
  <r>
    <x v="2"/>
    <s v="Kahramanmaraş"/>
    <n v="1168163"/>
    <x v="0"/>
  </r>
  <r>
    <x v="3"/>
    <s v="Kahramanmaraş"/>
    <n v="1134105"/>
    <x v="0"/>
  </r>
  <r>
    <x v="4"/>
    <s v="Kahramanmaraş"/>
    <n v="1146278"/>
    <x v="0"/>
  </r>
  <r>
    <x v="0"/>
    <s v="Karabük"/>
    <n v="225102"/>
    <x v="5"/>
  </r>
  <r>
    <x v="1"/>
    <s v="Karabük"/>
    <n v="227610"/>
    <x v="5"/>
  </r>
  <r>
    <x v="2"/>
    <s v="Karabük"/>
    <n v="243614"/>
    <x v="5"/>
  </r>
  <r>
    <x v="3"/>
    <s v="Karabük"/>
    <n v="250478"/>
    <x v="5"/>
  </r>
  <r>
    <x v="4"/>
    <s v="Karabük"/>
    <n v="249614"/>
    <x v="5"/>
  </r>
  <r>
    <x v="0"/>
    <s v="Karaman"/>
    <n v="243210"/>
    <x v="4"/>
  </r>
  <r>
    <x v="1"/>
    <s v="Karaman"/>
    <n v="232633"/>
    <x v="4"/>
  </r>
  <r>
    <x v="2"/>
    <s v="Karaman"/>
    <n v="254919"/>
    <x v="4"/>
  </r>
  <r>
    <x v="3"/>
    <s v="Karaman"/>
    <n v="262791"/>
    <x v="4"/>
  </r>
  <r>
    <x v="4"/>
    <s v="Karaman"/>
    <n v="262355"/>
    <x v="4"/>
  </r>
  <r>
    <x v="0"/>
    <s v="Kars"/>
    <n v="325016"/>
    <x v="3"/>
  </r>
  <r>
    <x v="1"/>
    <s v="Kars"/>
    <n v="301766"/>
    <x v="3"/>
  </r>
  <r>
    <x v="2"/>
    <s v="Kars"/>
    <n v="284923"/>
    <x v="3"/>
  </r>
  <r>
    <x v="3"/>
    <s v="Kars"/>
    <n v="272300"/>
    <x v="3"/>
  </r>
  <r>
    <x v="4"/>
    <s v="Kars"/>
    <n v="268991"/>
    <x v="3"/>
  </r>
  <r>
    <x v="0"/>
    <s v="Kastamonu"/>
    <n v="375476"/>
    <x v="5"/>
  </r>
  <r>
    <x v="1"/>
    <s v="Kastamonu"/>
    <n v="361222"/>
    <x v="5"/>
  </r>
  <r>
    <x v="2"/>
    <s v="Kastamonu"/>
    <n v="376377"/>
    <x v="5"/>
  </r>
  <r>
    <x v="3"/>
    <s v="Kastamonu"/>
    <n v="381991"/>
    <x v="5"/>
  </r>
  <r>
    <x v="4"/>
    <s v="Kastamonu"/>
    <n v="379934"/>
    <x v="5"/>
  </r>
  <r>
    <x v="0"/>
    <s v="Kayseri"/>
    <n v="1060432"/>
    <x v="4"/>
  </r>
  <r>
    <x v="1"/>
    <s v="Kayseri"/>
    <n v="1234651"/>
    <x v="4"/>
  </r>
  <r>
    <x v="2"/>
    <s v="Kayseri"/>
    <n v="1421455"/>
    <x v="4"/>
  </r>
  <r>
    <x v="3"/>
    <s v="Kayseri"/>
    <n v="1452458"/>
    <x v="4"/>
  </r>
  <r>
    <x v="4"/>
    <s v="Kayseri"/>
    <n v="1458991"/>
    <x v="4"/>
  </r>
  <r>
    <x v="0"/>
    <s v="Kırıkkale"/>
    <n v="383508"/>
    <x v="4"/>
  </r>
  <r>
    <x v="1"/>
    <s v="Kırıkkale"/>
    <n v="276647"/>
    <x v="4"/>
  </r>
  <r>
    <x v="2"/>
    <s v="Kırıkkale"/>
    <n v="278703"/>
    <x v="4"/>
  </r>
  <r>
    <x v="3"/>
    <s v="Kırıkkale"/>
    <n v="283053"/>
    <x v="4"/>
  </r>
  <r>
    <x v="4"/>
    <s v="Kırıkkale"/>
    <n v="282830"/>
    <x v="4"/>
  </r>
  <r>
    <x v="0"/>
    <s v="Kırklareli"/>
    <n v="328461"/>
    <x v="6"/>
  </r>
  <r>
    <x v="1"/>
    <s v="Kırklareli"/>
    <n v="332791"/>
    <x v="6"/>
  </r>
  <r>
    <x v="2"/>
    <s v="Kırklareli"/>
    <n v="361737"/>
    <x v="6"/>
  </r>
  <r>
    <x v="3"/>
    <s v="Kırklareli"/>
    <n v="379031"/>
    <x v="6"/>
  </r>
  <r>
    <x v="4"/>
    <s v="Kırklareli"/>
    <n v="379595"/>
    <x v="6"/>
  </r>
  <r>
    <x v="0"/>
    <s v="Kırşehir"/>
    <n v="253239"/>
    <x v="4"/>
  </r>
  <r>
    <x v="1"/>
    <s v="Kırşehir"/>
    <n v="221876"/>
    <x v="4"/>
  </r>
  <r>
    <x v="2"/>
    <s v="Kırşehir"/>
    <n v="243042"/>
    <x v="4"/>
  </r>
  <r>
    <x v="3"/>
    <s v="Kırşehir"/>
    <n v="244546"/>
    <x v="4"/>
  </r>
  <r>
    <x v="4"/>
    <s v="Kırşehir"/>
    <n v="242777"/>
    <x v="4"/>
  </r>
  <r>
    <x v="0"/>
    <s v="Kilis"/>
    <n v="114724"/>
    <x v="1"/>
  </r>
  <r>
    <x v="1"/>
    <s v="Kilis"/>
    <n v="123135"/>
    <x v="1"/>
  </r>
  <r>
    <x v="2"/>
    <s v="Kilis"/>
    <n v="142792"/>
    <x v="1"/>
  </r>
  <r>
    <x v="3"/>
    <s v="Kilis"/>
    <n v="156739"/>
    <x v="1"/>
  </r>
  <r>
    <x v="4"/>
    <s v="Kilis"/>
    <n v="157363"/>
    <x v="1"/>
  </r>
  <r>
    <x v="0"/>
    <s v="Kocaeli"/>
    <n v="1206085"/>
    <x v="6"/>
  </r>
  <r>
    <x v="1"/>
    <s v="Kocaeli"/>
    <n v="1560138"/>
    <x v="6"/>
  </r>
  <r>
    <x v="2"/>
    <s v="Kocaeli"/>
    <n v="1997258"/>
    <x v="6"/>
  </r>
  <r>
    <x v="3"/>
    <s v="Kocaeli"/>
    <n v="2130006"/>
    <x v="6"/>
  </r>
  <r>
    <x v="4"/>
    <s v="Kocaeli"/>
    <n v="2161171"/>
    <x v="6"/>
  </r>
  <r>
    <x v="0"/>
    <s v="Konya"/>
    <n v="2192166"/>
    <x v="4"/>
  </r>
  <r>
    <x v="1"/>
    <s v="Konya"/>
    <n v="2013845"/>
    <x v="4"/>
  </r>
  <r>
    <x v="2"/>
    <s v="Konya"/>
    <n v="2250020"/>
    <x v="4"/>
  </r>
  <r>
    <x v="3"/>
    <s v="Konya"/>
    <n v="2330024"/>
    <x v="4"/>
  </r>
  <r>
    <x v="4"/>
    <s v="Konya"/>
    <n v="2343409"/>
    <x v="4"/>
  </r>
  <r>
    <x v="0"/>
    <s v="Kütahya"/>
    <n v="656903"/>
    <x v="2"/>
  </r>
  <r>
    <x v="1"/>
    <s v="Kütahya"/>
    <n v="590496"/>
    <x v="2"/>
  </r>
  <r>
    <x v="2"/>
    <s v="Kütahya"/>
    <n v="576688"/>
    <x v="2"/>
  </r>
  <r>
    <x v="3"/>
    <s v="Kütahya"/>
    <n v="571078"/>
    <x v="2"/>
  </r>
  <r>
    <x v="4"/>
    <s v="Kütahya"/>
    <n v="570478"/>
    <x v="2"/>
  </r>
  <r>
    <x v="0"/>
    <s v="Malatya"/>
    <n v="853658"/>
    <x v="3"/>
  </r>
  <r>
    <x v="1"/>
    <s v="Malatya"/>
    <n v="740643"/>
    <x v="3"/>
  </r>
  <r>
    <x v="2"/>
    <s v="Malatya"/>
    <n v="806156"/>
    <x v="3"/>
  </r>
  <r>
    <x v="3"/>
    <s v="Malatya"/>
    <n v="750491"/>
    <x v="3"/>
  </r>
  <r>
    <x v="4"/>
    <s v="Malatya"/>
    <n v="755854"/>
    <x v="3"/>
  </r>
  <r>
    <x v="0"/>
    <s v="Manisa"/>
    <n v="1260169"/>
    <x v="2"/>
  </r>
  <r>
    <x v="1"/>
    <s v="Manisa"/>
    <n v="1379484"/>
    <x v="2"/>
  </r>
  <r>
    <x v="2"/>
    <s v="Manisa"/>
    <n v="1450616"/>
    <x v="2"/>
  </r>
  <r>
    <x v="3"/>
    <s v="Manisa"/>
    <n v="1475353"/>
    <x v="2"/>
  </r>
  <r>
    <x v="4"/>
    <s v="Manisa"/>
    <n v="1477756"/>
    <x v="2"/>
  </r>
  <r>
    <x v="0"/>
    <s v="Mardin"/>
    <n v="705098"/>
    <x v="1"/>
  </r>
  <r>
    <x v="1"/>
    <s v="Mardin"/>
    <n v="744606"/>
    <x v="1"/>
  </r>
  <r>
    <x v="2"/>
    <s v="Mardin"/>
    <n v="854716"/>
    <x v="1"/>
  </r>
  <r>
    <x v="3"/>
    <s v="Mardin"/>
    <n v="895911"/>
    <x v="1"/>
  </r>
  <r>
    <x v="4"/>
    <s v="Mardin"/>
    <n v="903576"/>
    <x v="1"/>
  </r>
  <r>
    <x v="0"/>
    <s v="Mersin"/>
    <n v="1651400"/>
    <x v="0"/>
  </r>
  <r>
    <x v="1"/>
    <s v="Mersin"/>
    <n v="1647899"/>
    <x v="0"/>
  </r>
  <r>
    <x v="2"/>
    <s v="Mersin"/>
    <n v="1868757"/>
    <x v="0"/>
  </r>
  <r>
    <x v="3"/>
    <s v="Mersin"/>
    <n v="1954279"/>
    <x v="0"/>
  </r>
  <r>
    <x v="4"/>
    <s v="Mersin"/>
    <n v="1956428"/>
    <x v="0"/>
  </r>
  <r>
    <x v="0"/>
    <s v="Muğla"/>
    <n v="715328"/>
    <x v="2"/>
  </r>
  <r>
    <x v="1"/>
    <s v="Muğla"/>
    <n v="817503"/>
    <x v="2"/>
  </r>
  <r>
    <x v="2"/>
    <s v="Muğla"/>
    <n v="1000773"/>
    <x v="2"/>
  </r>
  <r>
    <x v="3"/>
    <s v="Muğla"/>
    <n v="1081867"/>
    <x v="2"/>
  </r>
  <r>
    <x v="4"/>
    <s v="Muğla"/>
    <n v="1099547"/>
    <x v="2"/>
  </r>
  <r>
    <x v="0"/>
    <s v="Muş"/>
    <n v="453654"/>
    <x v="3"/>
  </r>
  <r>
    <x v="1"/>
    <s v="Muş"/>
    <n v="406886"/>
    <x v="3"/>
  </r>
  <r>
    <x v="2"/>
    <s v="Muş"/>
    <n v="411117"/>
    <x v="3"/>
  </r>
  <r>
    <x v="3"/>
    <s v="Muş"/>
    <n v="392301"/>
    <x v="3"/>
  </r>
  <r>
    <x v="4"/>
    <s v="Muş"/>
    <n v="389127"/>
    <x v="3"/>
  </r>
  <r>
    <x v="0"/>
    <s v="Nevşehir"/>
    <n v="309914"/>
    <x v="4"/>
  </r>
  <r>
    <x v="1"/>
    <s v="Nevşehir"/>
    <n v="282337"/>
    <x v="4"/>
  </r>
  <r>
    <x v="2"/>
    <s v="Nevşehir"/>
    <n v="304962"/>
    <x v="4"/>
  </r>
  <r>
    <x v="3"/>
    <s v="Nevşehir"/>
    <n v="317952"/>
    <x v="4"/>
  </r>
  <r>
    <x v="4"/>
    <s v="Nevşehir"/>
    <n v="320150"/>
    <x v="4"/>
  </r>
  <r>
    <x v="0"/>
    <s v="Niğde"/>
    <n v="348081"/>
    <x v="4"/>
  </r>
  <r>
    <x v="1"/>
    <s v="Niğde"/>
    <n v="337931"/>
    <x v="4"/>
  </r>
  <r>
    <x v="2"/>
    <s v="Niğde"/>
    <n v="362071"/>
    <x v="4"/>
  </r>
  <r>
    <x v="3"/>
    <s v="Niğde"/>
    <n v="372708"/>
    <x v="4"/>
  </r>
  <r>
    <x v="4"/>
    <s v="Niğde"/>
    <n v="374492"/>
    <x v="4"/>
  </r>
  <r>
    <x v="0"/>
    <s v="Ordu"/>
    <n v="887765"/>
    <x v="5"/>
  </r>
  <r>
    <x v="1"/>
    <s v="Ordu"/>
    <n v="719183"/>
    <x v="5"/>
  </r>
  <r>
    <x v="2"/>
    <s v="Ordu"/>
    <n v="761400"/>
    <x v="5"/>
  </r>
  <r>
    <x v="3"/>
    <s v="Ordu"/>
    <n v="770711"/>
    <x v="5"/>
  </r>
  <r>
    <x v="4"/>
    <s v="Ordu"/>
    <n v="768087"/>
    <x v="5"/>
  </r>
  <r>
    <x v="0"/>
    <s v="Osmaniye"/>
    <n v="458782"/>
    <x v="0"/>
  </r>
  <r>
    <x v="1"/>
    <s v="Osmaniye"/>
    <n v="479221"/>
    <x v="0"/>
  </r>
  <r>
    <x v="2"/>
    <s v="Osmaniye"/>
    <n v="548556"/>
    <x v="0"/>
  </r>
  <r>
    <x v="3"/>
    <s v="Osmaniye"/>
    <n v="561061"/>
    <x v="0"/>
  </r>
  <r>
    <x v="4"/>
    <s v="Osmaniye"/>
    <n v="564123"/>
    <x v="0"/>
  </r>
  <r>
    <x v="0"/>
    <s v="Rize"/>
    <n v="365938"/>
    <x v="5"/>
  </r>
  <r>
    <x v="1"/>
    <s v="Rize"/>
    <n v="319637"/>
    <x v="5"/>
  </r>
  <r>
    <x v="2"/>
    <s v="Rize"/>
    <n v="344359"/>
    <x v="5"/>
  </r>
  <r>
    <x v="3"/>
    <s v="Rize"/>
    <n v="346977"/>
    <x v="5"/>
  </r>
  <r>
    <x v="4"/>
    <s v="Rize"/>
    <n v="346947"/>
    <x v="5"/>
  </r>
  <r>
    <x v="0"/>
    <s v="Sakarya"/>
    <n v="756168"/>
    <x v="6"/>
  </r>
  <r>
    <x v="1"/>
    <s v="Sakarya"/>
    <n v="872872"/>
    <x v="6"/>
  </r>
  <r>
    <x v="2"/>
    <s v="Sakarya"/>
    <n v="1042649"/>
    <x v="6"/>
  </r>
  <r>
    <x v="3"/>
    <s v="Sakarya"/>
    <n v="1110735"/>
    <x v="6"/>
  </r>
  <r>
    <x v="4"/>
    <s v="Sakarya"/>
    <n v="1123693"/>
    <x v="6"/>
  </r>
  <r>
    <x v="0"/>
    <s v="Samsun"/>
    <n v="1209137"/>
    <x v="5"/>
  </r>
  <r>
    <x v="1"/>
    <s v="Samsun"/>
    <n v="1252693"/>
    <x v="5"/>
  </r>
  <r>
    <x v="2"/>
    <s v="Samsun"/>
    <n v="1356079"/>
    <x v="5"/>
  </r>
  <r>
    <x v="3"/>
    <s v="Samsun"/>
    <n v="1382376"/>
    <x v="5"/>
  </r>
  <r>
    <x v="4"/>
    <s v="Samsun"/>
    <n v="1392403"/>
    <x v="5"/>
  </r>
  <r>
    <x v="0"/>
    <s v="Siirt"/>
    <n v="263676"/>
    <x v="1"/>
  </r>
  <r>
    <x v="1"/>
    <s v="Siirt"/>
    <n v="300695"/>
    <x v="1"/>
  </r>
  <r>
    <x v="2"/>
    <s v="Siirt"/>
    <n v="331070"/>
    <x v="1"/>
  </r>
  <r>
    <x v="3"/>
    <s v="Siirt"/>
    <n v="336453"/>
    <x v="1"/>
  </r>
  <r>
    <x v="4"/>
    <s v="Siirt"/>
    <n v="332369"/>
    <x v="1"/>
  </r>
  <r>
    <x v="0"/>
    <s v="Sinop"/>
    <n v="225574"/>
    <x v="5"/>
  </r>
  <r>
    <x v="1"/>
    <s v="Sinop"/>
    <n v="202740"/>
    <x v="5"/>
  </r>
  <r>
    <x v="2"/>
    <s v="Sinop"/>
    <n v="216460"/>
    <x v="5"/>
  </r>
  <r>
    <x v="3"/>
    <s v="Sinop"/>
    <n v="226957"/>
    <x v="5"/>
  </r>
  <r>
    <x v="4"/>
    <s v="Sinop"/>
    <n v="225848"/>
    <x v="5"/>
  </r>
  <r>
    <x v="0"/>
    <s v="Sivas"/>
    <n v="755091"/>
    <x v="4"/>
  </r>
  <r>
    <x v="1"/>
    <s v="Sivas"/>
    <n v="642224"/>
    <x v="4"/>
  </r>
  <r>
    <x v="2"/>
    <s v="Sivas"/>
    <n v="635889"/>
    <x v="4"/>
  </r>
  <r>
    <x v="3"/>
    <s v="Sivas"/>
    <n v="637007"/>
    <x v="4"/>
  </r>
  <r>
    <x v="4"/>
    <s v="Sivas"/>
    <n v="631401"/>
    <x v="4"/>
  </r>
  <r>
    <x v="0"/>
    <s v="Şanlıurfa"/>
    <n v="1443422"/>
    <x v="1"/>
  </r>
  <r>
    <x v="1"/>
    <s v="Şanlıurfa"/>
    <n v="1663371"/>
    <x v="1"/>
  </r>
  <r>
    <x v="2"/>
    <s v="Şanlıurfa"/>
    <n v="2115256"/>
    <x v="1"/>
  </r>
  <r>
    <x v="3"/>
    <s v="Şanlıurfa"/>
    <n v="2237745"/>
    <x v="1"/>
  </r>
  <r>
    <x v="4"/>
    <s v="Şanlıurfa"/>
    <n v="2265800"/>
    <x v="1"/>
  </r>
  <r>
    <x v="0"/>
    <s v="Şırnak"/>
    <n v="353197"/>
    <x v="1"/>
  </r>
  <r>
    <x v="1"/>
    <s v="Şırnak"/>
    <n v="430109"/>
    <x v="1"/>
  </r>
  <r>
    <x v="2"/>
    <s v="Şırnak"/>
    <n v="537762"/>
    <x v="1"/>
  </r>
  <r>
    <x v="3"/>
    <s v="Şırnak"/>
    <n v="570826"/>
    <x v="1"/>
  </r>
  <r>
    <x v="4"/>
    <s v="Şırnak"/>
    <n v="573666"/>
    <x v="1"/>
  </r>
  <r>
    <x v="0"/>
    <s v="Tekirdağ"/>
    <n v="623591"/>
    <x v="6"/>
  </r>
  <r>
    <x v="1"/>
    <s v="Tekirdağ"/>
    <n v="798109"/>
    <x v="6"/>
  </r>
  <r>
    <x v="2"/>
    <s v="Tekirdağ"/>
    <n v="1081065"/>
    <x v="6"/>
  </r>
  <r>
    <x v="3"/>
    <s v="Tekirdağ"/>
    <n v="1187162"/>
    <x v="6"/>
  </r>
  <r>
    <x v="4"/>
    <s v="Tekirdağ"/>
    <n v="1208441"/>
    <x v="6"/>
  </r>
  <r>
    <x v="0"/>
    <s v="Tokat"/>
    <n v="828027"/>
    <x v="5"/>
  </r>
  <r>
    <x v="1"/>
    <s v="Tokat"/>
    <n v="617802"/>
    <x v="5"/>
  </r>
  <r>
    <x v="2"/>
    <s v="Tokat"/>
    <n v="597861"/>
    <x v="5"/>
  </r>
  <r>
    <x v="3"/>
    <s v="Tokat"/>
    <n v="612674"/>
    <x v="5"/>
  </r>
  <r>
    <x v="4"/>
    <s v="Tokat"/>
    <n v="614141"/>
    <x v="5"/>
  </r>
  <r>
    <x v="0"/>
    <s v="Trabzon"/>
    <n v="975137"/>
    <x v="5"/>
  </r>
  <r>
    <x v="1"/>
    <s v="Trabzon"/>
    <n v="763714"/>
    <x v="5"/>
  </r>
  <r>
    <x v="2"/>
    <s v="Trabzon"/>
    <n v="811901"/>
    <x v="5"/>
  </r>
  <r>
    <x v="3"/>
    <s v="Trabzon"/>
    <n v="822270"/>
    <x v="5"/>
  </r>
  <r>
    <x v="4"/>
    <s v="Trabzon"/>
    <n v="823323"/>
    <x v="5"/>
  </r>
  <r>
    <x v="0"/>
    <s v="Tunceli"/>
    <n v="93584"/>
    <x v="3"/>
  </r>
  <r>
    <x v="1"/>
    <s v="Tunceli"/>
    <n v="76699"/>
    <x v="3"/>
  </r>
  <r>
    <x v="2"/>
    <s v="Tunceli"/>
    <n v="83443"/>
    <x v="3"/>
  </r>
  <r>
    <x v="3"/>
    <s v="Tunceli"/>
    <n v="86612"/>
    <x v="3"/>
  </r>
  <r>
    <x v="4"/>
    <s v="Tunceli"/>
    <n v="85083"/>
    <x v="3"/>
  </r>
  <r>
    <x v="0"/>
    <s v="Uşak"/>
    <n v="322313"/>
    <x v="2"/>
  </r>
  <r>
    <x v="1"/>
    <s v="Uşak"/>
    <n v="338019"/>
    <x v="2"/>
  </r>
  <r>
    <x v="2"/>
    <s v="Uşak"/>
    <n v="369433"/>
    <x v="2"/>
  </r>
  <r>
    <x v="3"/>
    <s v="Uşak"/>
    <n v="375310"/>
    <x v="2"/>
  </r>
  <r>
    <x v="4"/>
    <s v="Uşak"/>
    <n v="374405"/>
    <x v="2"/>
  </r>
  <r>
    <x v="0"/>
    <s v="Van"/>
    <n v="877524"/>
    <x v="3"/>
  </r>
  <r>
    <x v="1"/>
    <s v="Van"/>
    <n v="1035418"/>
    <x v="3"/>
  </r>
  <r>
    <x v="2"/>
    <s v="Van"/>
    <n v="1149342"/>
    <x v="3"/>
  </r>
  <r>
    <x v="3"/>
    <s v="Van"/>
    <n v="1118087"/>
    <x v="3"/>
  </r>
  <r>
    <x v="4"/>
    <s v="Van"/>
    <n v="1112013"/>
    <x v="3"/>
  </r>
  <r>
    <x v="0"/>
    <s v="Yalova"/>
    <n v="168593"/>
    <x v="6"/>
  </r>
  <r>
    <x v="1"/>
    <s v="Yalova"/>
    <n v="203741"/>
    <x v="6"/>
  </r>
  <r>
    <x v="2"/>
    <s v="Yalova"/>
    <n v="276050"/>
    <x v="6"/>
  </r>
  <r>
    <x v="3"/>
    <s v="Yalova"/>
    <n v="307882"/>
    <x v="6"/>
  </r>
  <r>
    <x v="4"/>
    <s v="Yalova"/>
    <n v="311635"/>
    <x v="6"/>
  </r>
  <r>
    <x v="0"/>
    <s v="Yozgat"/>
    <n v="682919"/>
    <x v="4"/>
  </r>
  <r>
    <x v="1"/>
    <s v="Yozgat"/>
    <n v="476096"/>
    <x v="4"/>
  </r>
  <r>
    <x v="2"/>
    <s v="Yozgat"/>
    <n v="419095"/>
    <x v="4"/>
  </r>
  <r>
    <x v="3"/>
    <s v="Yozgat"/>
    <n v="413161"/>
    <x v="4"/>
  </r>
  <r>
    <x v="4"/>
    <s v="Yozgat"/>
    <n v="413208"/>
    <x v="4"/>
  </r>
  <r>
    <x v="0"/>
    <s v="Zonguldak"/>
    <n v="615599"/>
    <x v="5"/>
  </r>
  <r>
    <x v="1"/>
    <s v="Zonguldak"/>
    <n v="619703"/>
    <x v="5"/>
  </r>
  <r>
    <x v="2"/>
    <s v="Zonguldak"/>
    <n v="591204"/>
    <x v="5"/>
  </r>
  <r>
    <x v="3"/>
    <s v="Zonguldak"/>
    <n v="586802"/>
    <x v="5"/>
  </r>
  <r>
    <x v="4"/>
    <s v="Zonguldak"/>
    <n v="585203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2C91C5-B574-44DE-83CA-325EE619049F}" name="PivotTable1" cacheId="0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13">
  <location ref="A3:G12" firstHeaderRow="1" firstDataRow="2" firstDataCol="1"/>
  <pivotFields count="4">
    <pivotField axis="axisCol" showAll="0">
      <items count="6">
        <item x="0"/>
        <item x="1"/>
        <item x="2"/>
        <item x="3"/>
        <item x="4"/>
        <item t="default"/>
      </items>
    </pivotField>
    <pivotField showAll="0"/>
    <pivotField dataField="1" showAll="0"/>
    <pivotField axis="axisRow" showAll="0" sortType="descending">
      <items count="8">
        <item x="0"/>
        <item x="3"/>
        <item x="2"/>
        <item x="1"/>
        <item x="4"/>
        <item x="5"/>
        <item x="6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0" count="1" selected="0">
              <x v="0"/>
            </reference>
          </references>
        </pivotArea>
      </autoSortScope>
    </pivotField>
  </pivotFields>
  <rowFields count="1">
    <field x="3"/>
  </rowFields>
  <rowItems count="8">
    <i>
      <x v="6"/>
    </i>
    <i>
      <x v="4"/>
    </i>
    <i>
      <x v="2"/>
    </i>
    <i>
      <x/>
    </i>
    <i>
      <x v="5"/>
    </i>
    <i>
      <x v="3"/>
    </i>
    <i>
      <x v="1"/>
    </i>
    <i t="grand">
      <x/>
    </i>
  </rowItems>
  <colFields count="1">
    <field x="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Toplam Nüfus" fld="2" baseField="3" baseItem="0"/>
  </dataFields>
  <chartFormats count="5">
    <chartFormat chart="7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7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7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7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7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2"/>
  <sheetViews>
    <sheetView tabSelected="1" zoomScale="85" zoomScaleNormal="85" workbookViewId="0">
      <selection activeCell="P36" sqref="P36"/>
    </sheetView>
  </sheetViews>
  <sheetFormatPr defaultColWidth="8.85546875" defaultRowHeight="15" x14ac:dyDescent="0.25"/>
  <sheetData>
    <row r="1" spans="1:2" x14ac:dyDescent="0.25">
      <c r="A1" s="4" t="s">
        <v>178</v>
      </c>
      <c r="B1" s="4" t="s">
        <v>179</v>
      </c>
    </row>
    <row r="2" spans="1:2" x14ac:dyDescent="0.25">
      <c r="A2">
        <v>0</v>
      </c>
      <c r="B2">
        <f ca="1">_xlfn.EXPON.DIST(A2,2,FALSE)+RAND()*0.01</f>
        <v>2.0039952687239637</v>
      </c>
    </row>
    <row r="3" spans="1:2" x14ac:dyDescent="0.25">
      <c r="A3">
        <v>0.1</v>
      </c>
      <c r="B3">
        <f t="shared" ref="B3:B42" ca="1" si="0">_xlfn.EXPON.DIST(A3,2,FALSE)+RAND()*0.01</f>
        <v>1.6401157843398664</v>
      </c>
    </row>
    <row r="4" spans="1:2" x14ac:dyDescent="0.25">
      <c r="A4">
        <v>0.2</v>
      </c>
      <c r="B4">
        <f t="shared" ca="1" si="0"/>
        <v>1.3448791215506697</v>
      </c>
    </row>
    <row r="5" spans="1:2" x14ac:dyDescent="0.25">
      <c r="A5">
        <v>0.3</v>
      </c>
      <c r="B5">
        <f t="shared" ca="1" si="0"/>
        <v>1.1075515492358263</v>
      </c>
    </row>
    <row r="6" spans="1:2" x14ac:dyDescent="0.25">
      <c r="A6">
        <v>0.4</v>
      </c>
      <c r="B6">
        <f t="shared" ca="1" si="0"/>
        <v>0.90832986266284377</v>
      </c>
    </row>
    <row r="7" spans="1:2" x14ac:dyDescent="0.25">
      <c r="A7">
        <v>0.5</v>
      </c>
      <c r="B7">
        <f t="shared" ca="1" si="0"/>
        <v>0.74313197752213289</v>
      </c>
    </row>
    <row r="8" spans="1:2" x14ac:dyDescent="0.25">
      <c r="A8">
        <v>0.6</v>
      </c>
      <c r="B8">
        <f t="shared" ca="1" si="0"/>
        <v>0.60251000439934033</v>
      </c>
    </row>
    <row r="9" spans="1:2" x14ac:dyDescent="0.25">
      <c r="A9">
        <v>0.7</v>
      </c>
      <c r="B9">
        <f t="shared" ca="1" si="0"/>
        <v>0.49354884469176702</v>
      </c>
    </row>
    <row r="10" spans="1:2" x14ac:dyDescent="0.25">
      <c r="A10">
        <v>0.8</v>
      </c>
      <c r="B10">
        <f t="shared" ca="1" si="0"/>
        <v>0.41213738074049522</v>
      </c>
    </row>
    <row r="11" spans="1:2" x14ac:dyDescent="0.25">
      <c r="A11">
        <v>0.9</v>
      </c>
      <c r="B11">
        <f t="shared" ca="1" si="0"/>
        <v>0.33383318195926698</v>
      </c>
    </row>
    <row r="12" spans="1:2" x14ac:dyDescent="0.25">
      <c r="A12">
        <v>1</v>
      </c>
      <c r="B12">
        <f t="shared" ca="1" si="0"/>
        <v>0.27236062667761585</v>
      </c>
    </row>
    <row r="13" spans="1:2" x14ac:dyDescent="0.25">
      <c r="A13">
        <v>1.1000000000000001</v>
      </c>
      <c r="B13">
        <f t="shared" ca="1" si="0"/>
        <v>0.22409835799518232</v>
      </c>
    </row>
    <row r="14" spans="1:2" x14ac:dyDescent="0.25">
      <c r="A14">
        <v>1.2</v>
      </c>
      <c r="B14">
        <f t="shared" ca="1" si="0"/>
        <v>0.18753219610315425</v>
      </c>
    </row>
    <row r="15" spans="1:2" x14ac:dyDescent="0.25">
      <c r="A15">
        <v>1.3</v>
      </c>
      <c r="B15">
        <f t="shared" ca="1" si="0"/>
        <v>0.15244825968721329</v>
      </c>
    </row>
    <row r="16" spans="1:2" x14ac:dyDescent="0.25">
      <c r="A16">
        <v>1.4</v>
      </c>
      <c r="B16">
        <f t="shared" ca="1" si="0"/>
        <v>0.1293086297182425</v>
      </c>
    </row>
    <row r="17" spans="1:2" x14ac:dyDescent="0.25">
      <c r="A17">
        <v>1.5</v>
      </c>
      <c r="B17">
        <f t="shared" ca="1" si="0"/>
        <v>0.10303424581270904</v>
      </c>
    </row>
    <row r="18" spans="1:2" x14ac:dyDescent="0.25">
      <c r="A18">
        <v>1.6</v>
      </c>
      <c r="B18">
        <f t="shared" ca="1" si="0"/>
        <v>9.0265483796950291E-2</v>
      </c>
    </row>
    <row r="19" spans="1:2" x14ac:dyDescent="0.25">
      <c r="A19">
        <v>1.7</v>
      </c>
      <c r="B19">
        <f t="shared" ca="1" si="0"/>
        <v>6.754426482866982E-2</v>
      </c>
    </row>
    <row r="20" spans="1:2" x14ac:dyDescent="0.25">
      <c r="A20">
        <v>1.8</v>
      </c>
      <c r="B20">
        <f t="shared" ca="1" si="0"/>
        <v>6.2613314819423324E-2</v>
      </c>
    </row>
    <row r="21" spans="1:2" x14ac:dyDescent="0.25">
      <c r="A21">
        <v>1.9</v>
      </c>
      <c r="B21">
        <f t="shared" ca="1" si="0"/>
        <v>5.1512086604836069E-2</v>
      </c>
    </row>
    <row r="22" spans="1:2" x14ac:dyDescent="0.25">
      <c r="A22">
        <v>2</v>
      </c>
      <c r="B22">
        <f t="shared" ca="1" si="0"/>
        <v>4.0689818353857425E-2</v>
      </c>
    </row>
    <row r="23" spans="1:2" x14ac:dyDescent="0.25">
      <c r="A23">
        <v>2.1</v>
      </c>
      <c r="B23">
        <f t="shared" ca="1" si="0"/>
        <v>3.651022965316858E-2</v>
      </c>
    </row>
    <row r="24" spans="1:2" x14ac:dyDescent="0.25">
      <c r="A24">
        <v>2.2000000000000002</v>
      </c>
      <c r="B24">
        <f t="shared" ca="1" si="0"/>
        <v>2.9633520364757891E-2</v>
      </c>
    </row>
    <row r="25" spans="1:2" x14ac:dyDescent="0.25">
      <c r="A25">
        <v>2.2999999999999998</v>
      </c>
      <c r="B25">
        <f t="shared" ca="1" si="0"/>
        <v>2.2773775262344295E-2</v>
      </c>
    </row>
    <row r="26" spans="1:2" x14ac:dyDescent="0.25">
      <c r="A26">
        <v>2.4</v>
      </c>
      <c r="B26">
        <f t="shared" ca="1" si="0"/>
        <v>2.3067739068037663E-2</v>
      </c>
    </row>
    <row r="27" spans="1:2" x14ac:dyDescent="0.25">
      <c r="A27">
        <v>2.5</v>
      </c>
      <c r="B27">
        <f t="shared" ca="1" si="0"/>
        <v>1.4893851775486076E-2</v>
      </c>
    </row>
    <row r="28" spans="1:2" x14ac:dyDescent="0.25">
      <c r="A28">
        <v>2.6</v>
      </c>
      <c r="B28">
        <f t="shared" ca="1" si="0"/>
        <v>1.5155959183096618E-2</v>
      </c>
    </row>
    <row r="29" spans="1:2" x14ac:dyDescent="0.25">
      <c r="A29">
        <v>2.7</v>
      </c>
      <c r="B29">
        <f t="shared" ca="1" si="0"/>
        <v>1.9022425545934495E-2</v>
      </c>
    </row>
    <row r="30" spans="1:2" x14ac:dyDescent="0.25">
      <c r="A30">
        <v>2.8</v>
      </c>
      <c r="B30">
        <f t="shared" ca="1" si="0"/>
        <v>1.2759275328632112E-2</v>
      </c>
    </row>
    <row r="31" spans="1:2" x14ac:dyDescent="0.25">
      <c r="A31">
        <v>2.9</v>
      </c>
      <c r="B31">
        <f t="shared" ca="1" si="0"/>
        <v>1.5640312101356139E-2</v>
      </c>
    </row>
    <row r="32" spans="1:2" x14ac:dyDescent="0.25">
      <c r="A32">
        <v>3</v>
      </c>
      <c r="B32">
        <f t="shared" ca="1" si="0"/>
        <v>9.5460959028295378E-3</v>
      </c>
    </row>
    <row r="33" spans="1:2" x14ac:dyDescent="0.25">
      <c r="A33">
        <v>3.1</v>
      </c>
      <c r="B33">
        <f t="shared" ca="1" si="0"/>
        <v>5.5054833232495897E-3</v>
      </c>
    </row>
    <row r="34" spans="1:2" x14ac:dyDescent="0.25">
      <c r="A34">
        <v>3.2</v>
      </c>
      <c r="B34">
        <f t="shared" ca="1" si="0"/>
        <v>7.6190241509844735E-3</v>
      </c>
    </row>
    <row r="35" spans="1:2" x14ac:dyDescent="0.25">
      <c r="A35">
        <v>3.3</v>
      </c>
      <c r="B35">
        <f t="shared" ca="1" si="0"/>
        <v>1.1568118123585266E-2</v>
      </c>
    </row>
    <row r="36" spans="1:2" x14ac:dyDescent="0.25">
      <c r="A36">
        <v>3.4</v>
      </c>
      <c r="B36">
        <f t="shared" ca="1" si="0"/>
        <v>5.3550389220196216E-3</v>
      </c>
    </row>
    <row r="37" spans="1:2" x14ac:dyDescent="0.25">
      <c r="A37">
        <v>3.5</v>
      </c>
      <c r="B37">
        <f t="shared" ca="1" si="0"/>
        <v>2.1869570096370149E-3</v>
      </c>
    </row>
    <row r="38" spans="1:2" x14ac:dyDescent="0.25">
      <c r="A38">
        <v>3.6</v>
      </c>
      <c r="B38">
        <f t="shared" ca="1" si="0"/>
        <v>7.6718570947316269E-3</v>
      </c>
    </row>
    <row r="39" spans="1:2" x14ac:dyDescent="0.25">
      <c r="A39">
        <v>3.7</v>
      </c>
      <c r="B39">
        <f t="shared" ca="1" si="0"/>
        <v>5.9524493794867279E-3</v>
      </c>
    </row>
    <row r="40" spans="1:2" x14ac:dyDescent="0.25">
      <c r="A40">
        <v>3.8</v>
      </c>
      <c r="B40">
        <f t="shared" ca="1" si="0"/>
        <v>4.1685831646705524E-3</v>
      </c>
    </row>
    <row r="41" spans="1:2" x14ac:dyDescent="0.25">
      <c r="A41">
        <v>3.9</v>
      </c>
      <c r="B41">
        <f t="shared" ca="1" si="0"/>
        <v>8.4974414660223107E-3</v>
      </c>
    </row>
    <row r="42" spans="1:2" x14ac:dyDescent="0.25">
      <c r="A42">
        <v>4</v>
      </c>
      <c r="B42">
        <f t="shared" ca="1" si="0"/>
        <v>1.0551374561259588E-2</v>
      </c>
    </row>
  </sheetData>
  <sheetProtection selectLockedCells="1" selectUnlockedCells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6"/>
  <sheetViews>
    <sheetView zoomScale="110" zoomScaleNormal="110" workbookViewId="0">
      <selection activeCell="K13" sqref="K13"/>
    </sheetView>
  </sheetViews>
  <sheetFormatPr defaultColWidth="8.85546875" defaultRowHeight="15" x14ac:dyDescent="0.25"/>
  <sheetData>
    <row r="1" spans="1:20" ht="15.75" customHeight="1" x14ac:dyDescent="0.25">
      <c r="A1" s="1" t="s">
        <v>180</v>
      </c>
      <c r="B1" s="5">
        <v>-60</v>
      </c>
      <c r="D1" s="16" t="s">
        <v>182</v>
      </c>
      <c r="E1" s="16"/>
      <c r="F1" s="16"/>
      <c r="G1" s="16"/>
      <c r="H1" s="16"/>
      <c r="J1" s="16" t="s">
        <v>183</v>
      </c>
      <c r="K1" s="16"/>
      <c r="L1" s="16"/>
      <c r="M1" s="16"/>
      <c r="N1" s="16"/>
      <c r="P1" s="16" t="s">
        <v>184</v>
      </c>
      <c r="Q1" s="16"/>
      <c r="R1" s="16"/>
      <c r="S1" s="16"/>
      <c r="T1" s="16"/>
    </row>
    <row r="2" spans="1:20" x14ac:dyDescent="0.25">
      <c r="A2" s="1" t="s">
        <v>181</v>
      </c>
      <c r="B2" s="5">
        <v>60</v>
      </c>
      <c r="D2">
        <f ca="1">RANDBETWEEN($B$1,$B$2)</f>
        <v>60</v>
      </c>
      <c r="E2">
        <f t="shared" ref="E2:H6" ca="1" si="0">RANDBETWEEN($B$1,$B$2)</f>
        <v>17</v>
      </c>
      <c r="F2">
        <f t="shared" ca="1" si="0"/>
        <v>4</v>
      </c>
      <c r="G2">
        <f t="shared" ca="1" si="0"/>
        <v>-34</v>
      </c>
      <c r="H2">
        <f t="shared" ca="1" si="0"/>
        <v>23</v>
      </c>
      <c r="J2" s="6" cm="1">
        <f t="array" aca="1" ref="J2:N6" ca="1">MINVERSE(D2:H6)</f>
        <v>1.0651358300597028E-2</v>
      </c>
      <c r="K2" s="6">
        <f ca="1"/>
        <v>-1.691921532028208E-3</v>
      </c>
      <c r="L2" s="6">
        <f ca="1"/>
        <v>-2.0592359472296463E-2</v>
      </c>
      <c r="M2" s="6">
        <f ca="1"/>
        <v>1.1361915361138038E-2</v>
      </c>
      <c r="N2" s="6">
        <f ca="1"/>
        <v>8.6741343134782538E-3</v>
      </c>
      <c r="P2" s="7" cm="1">
        <f t="array" aca="1" ref="P2:T6" ca="1">MMULT(D2:H6,_xlfn.ANCHORARRAY(J2))</f>
        <v>1</v>
      </c>
      <c r="Q2" s="7">
        <f ca="1"/>
        <v>-2.7755575615628914E-17</v>
      </c>
      <c r="R2" s="7">
        <f ca="1"/>
        <v>-2.2204460492503131E-16</v>
      </c>
      <c r="S2" s="7">
        <f ca="1"/>
        <v>1.3877787807814457E-16</v>
      </c>
      <c r="T2">
        <f ca="1"/>
        <v>0</v>
      </c>
    </row>
    <row r="3" spans="1:20" x14ac:dyDescent="0.25">
      <c r="D3">
        <f t="shared" ref="D3:D6" ca="1" si="1">RANDBETWEEN($B$1,$B$2)</f>
        <v>44</v>
      </c>
      <c r="E3">
        <f t="shared" ca="1" si="0"/>
        <v>-30</v>
      </c>
      <c r="F3">
        <f t="shared" ca="1" si="0"/>
        <v>8</v>
      </c>
      <c r="G3">
        <f t="shared" ca="1" si="0"/>
        <v>-53</v>
      </c>
      <c r="H3">
        <f t="shared" ca="1" si="0"/>
        <v>-60</v>
      </c>
      <c r="J3" s="6">
        <f ca="1"/>
        <v>1.4743725786820162E-2</v>
      </c>
      <c r="K3" s="6">
        <f ca="1"/>
        <v>-2.8542507983187217E-2</v>
      </c>
      <c r="L3" s="6">
        <f ca="1"/>
        <v>-0.12325467589297889</v>
      </c>
      <c r="M3" s="6">
        <f ca="1"/>
        <v>8.2472302719700172E-3</v>
      </c>
      <c r="N3" s="6">
        <f ca="1"/>
        <v>0.11753788046533561</v>
      </c>
      <c r="P3" s="7">
        <f ca="1"/>
        <v>0</v>
      </c>
      <c r="Q3" s="7">
        <f ca="1"/>
        <v>1</v>
      </c>
      <c r="R3" s="7">
        <f ca="1"/>
        <v>0</v>
      </c>
      <c r="S3" s="7">
        <f ca="1"/>
        <v>1.1102230246251565E-16</v>
      </c>
      <c r="T3">
        <f ca="1"/>
        <v>0</v>
      </c>
    </row>
    <row r="4" spans="1:20" x14ac:dyDescent="0.25">
      <c r="D4">
        <f t="shared" ca="1" si="1"/>
        <v>-57</v>
      </c>
      <c r="E4">
        <f t="shared" ca="1" si="0"/>
        <v>-17</v>
      </c>
      <c r="F4">
        <f t="shared" ca="1" si="0"/>
        <v>27</v>
      </c>
      <c r="G4">
        <f t="shared" ca="1" si="0"/>
        <v>-33</v>
      </c>
      <c r="H4">
        <f t="shared" ca="1" si="0"/>
        <v>31</v>
      </c>
      <c r="J4" s="6">
        <f ca="1"/>
        <v>3.1480936667753312E-2</v>
      </c>
      <c r="K4" s="6">
        <f ca="1"/>
        <v>-5.2161565960598094E-2</v>
      </c>
      <c r="L4" s="6">
        <f ca="1"/>
        <v>-0.2674132714025077</v>
      </c>
      <c r="M4" s="6">
        <f ca="1"/>
        <v>7.2116943217114107E-2</v>
      </c>
      <c r="N4" s="6">
        <f ca="1"/>
        <v>0.23959298315905811</v>
      </c>
      <c r="P4" s="7">
        <f ca="1"/>
        <v>-2.3592239273284576E-16</v>
      </c>
      <c r="Q4" s="7">
        <f ca="1"/>
        <v>6.3837823915946501E-16</v>
      </c>
      <c r="R4" s="7">
        <f ca="1"/>
        <v>1.0000000000000018</v>
      </c>
      <c r="S4" s="7">
        <f ca="1"/>
        <v>-5.5511151231257827E-16</v>
      </c>
      <c r="T4">
        <f ca="1"/>
        <v>-1.7763568394002505E-15</v>
      </c>
    </row>
    <row r="5" spans="1:20" x14ac:dyDescent="0.25">
      <c r="D5">
        <f t="shared" ca="1" si="1"/>
        <v>-23</v>
      </c>
      <c r="E5">
        <f t="shared" ca="1" si="0"/>
        <v>-39</v>
      </c>
      <c r="F5">
        <f t="shared" ca="1" si="0"/>
        <v>25</v>
      </c>
      <c r="G5">
        <f t="shared" ca="1" si="0"/>
        <v>-3</v>
      </c>
      <c r="H5">
        <f t="shared" ca="1" si="0"/>
        <v>15</v>
      </c>
      <c r="J5" s="6">
        <f ca="1"/>
        <v>2.2514302360023175E-3</v>
      </c>
      <c r="K5" s="6">
        <f ca="1"/>
        <v>-1.9128160082067955E-2</v>
      </c>
      <c r="L5" s="6">
        <f ca="1"/>
        <v>-7.6412774472407977E-2</v>
      </c>
      <c r="M5" s="6">
        <f ca="1"/>
        <v>2.6296509223496505E-2</v>
      </c>
      <c r="N5" s="6">
        <f ca="1"/>
        <v>5.5348276424290611E-2</v>
      </c>
      <c r="P5" s="7">
        <f ca="1"/>
        <v>-7.6327832942979512E-17</v>
      </c>
      <c r="Q5" s="7">
        <f ca="1"/>
        <v>-1.8041124150158794E-16</v>
      </c>
      <c r="R5" s="7">
        <f ca="1"/>
        <v>-3.1086244689504383E-15</v>
      </c>
      <c r="S5" s="7">
        <f ca="1"/>
        <v>1.0000000000000004</v>
      </c>
      <c r="T5">
        <f ca="1"/>
        <v>1.7763568394002505E-15</v>
      </c>
    </row>
    <row r="6" spans="1:20" x14ac:dyDescent="0.25">
      <c r="D6">
        <f t="shared" ca="1" si="1"/>
        <v>-55</v>
      </c>
      <c r="E6">
        <f t="shared" ca="1" si="0"/>
        <v>-16</v>
      </c>
      <c r="F6">
        <f t="shared" ca="1" si="0"/>
        <v>28</v>
      </c>
      <c r="G6">
        <f t="shared" ca="1" si="0"/>
        <v>-43</v>
      </c>
      <c r="H6">
        <f t="shared" ca="1" si="0"/>
        <v>14</v>
      </c>
      <c r="J6" s="6">
        <f ca="1"/>
        <v>2.6478280409261336E-3</v>
      </c>
      <c r="K6" s="6">
        <f ca="1"/>
        <v>6.3055108125198711E-3</v>
      </c>
      <c r="L6" s="6">
        <f ca="1"/>
        <v>7.8369122263764732E-2</v>
      </c>
      <c r="M6" s="6">
        <f ca="1"/>
        <v>-9.4045345896238159E-3</v>
      </c>
      <c r="N6" s="6">
        <f ca="1"/>
        <v>-6.9353154823032712E-2</v>
      </c>
      <c r="P6" s="8">
        <f ca="1"/>
        <v>-2.4980018054066022E-16</v>
      </c>
      <c r="Q6" s="8">
        <f ca="1"/>
        <v>4.9960036108132044E-16</v>
      </c>
      <c r="R6" s="8">
        <f ca="1"/>
        <v>1.7763568394002505E-15</v>
      </c>
      <c r="S6" s="8">
        <f ca="1"/>
        <v>-5.8286708792820718E-16</v>
      </c>
      <c r="T6">
        <f ca="1"/>
        <v>0.99999999999999867</v>
      </c>
    </row>
  </sheetData>
  <sheetProtection selectLockedCells="1"/>
  <mergeCells count="3">
    <mergeCell ref="D1:H1"/>
    <mergeCell ref="J1:N1"/>
    <mergeCell ref="P1:T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1"/>
  <sheetViews>
    <sheetView workbookViewId="0">
      <selection activeCell="F21" sqref="F21"/>
    </sheetView>
  </sheetViews>
  <sheetFormatPr defaultColWidth="9.140625" defaultRowHeight="15.75" x14ac:dyDescent="0.25"/>
  <cols>
    <col min="1" max="3" width="12" style="3" bestFit="1" customWidth="1"/>
    <col min="4" max="5" width="9.140625" style="3"/>
    <col min="6" max="6" width="16.5703125" style="3" bestFit="1" customWidth="1"/>
    <col min="7" max="12" width="12" style="3" bestFit="1" customWidth="1"/>
    <col min="13" max="16384" width="9.140625" style="3"/>
  </cols>
  <sheetData>
    <row r="1" spans="1:12" x14ac:dyDescent="0.25">
      <c r="A1" s="9" t="s">
        <v>185</v>
      </c>
      <c r="B1" s="9" t="s">
        <v>186</v>
      </c>
      <c r="C1" s="9" t="s">
        <v>187</v>
      </c>
      <c r="F1" t="s">
        <v>188</v>
      </c>
      <c r="G1"/>
      <c r="H1"/>
      <c r="I1"/>
      <c r="J1"/>
      <c r="K1"/>
      <c r="L1"/>
    </row>
    <row r="2" spans="1:12" x14ac:dyDescent="0.25">
      <c r="A2">
        <v>4.4900190358748659</v>
      </c>
      <c r="B2">
        <v>5.4900190358748659</v>
      </c>
      <c r="C2">
        <v>9.4900190358748659</v>
      </c>
      <c r="F2"/>
      <c r="G2"/>
      <c r="H2"/>
      <c r="I2"/>
      <c r="J2"/>
      <c r="K2"/>
      <c r="L2"/>
    </row>
    <row r="3" spans="1:12" ht="16.5" thickBot="1" x14ac:dyDescent="0.3">
      <c r="A3">
        <v>4.626315911882557</v>
      </c>
      <c r="B3">
        <v>5.626315911882557</v>
      </c>
      <c r="C3">
        <v>9.626315911882557</v>
      </c>
      <c r="F3" t="s">
        <v>189</v>
      </c>
      <c r="G3"/>
      <c r="H3"/>
      <c r="I3"/>
      <c r="J3"/>
      <c r="K3"/>
      <c r="L3"/>
    </row>
    <row r="4" spans="1:12" x14ac:dyDescent="0.25">
      <c r="A4">
        <v>6.1518159226397984</v>
      </c>
      <c r="B4">
        <v>7.1518159226397984</v>
      </c>
      <c r="C4">
        <v>11.151815922639798</v>
      </c>
      <c r="F4" s="11" t="s">
        <v>190</v>
      </c>
      <c r="G4" s="11" t="s">
        <v>191</v>
      </c>
      <c r="H4" s="11" t="s">
        <v>192</v>
      </c>
      <c r="I4" s="11" t="s">
        <v>193</v>
      </c>
      <c r="J4" s="11" t="s">
        <v>194</v>
      </c>
      <c r="K4"/>
      <c r="L4"/>
    </row>
    <row r="5" spans="1:12" x14ac:dyDescent="0.25">
      <c r="A5">
        <v>3.8243962434353307</v>
      </c>
      <c r="B5">
        <v>4.8243962434353307</v>
      </c>
      <c r="C5">
        <v>8.8243962434353307</v>
      </c>
      <c r="F5" t="s">
        <v>185</v>
      </c>
      <c r="G5">
        <v>50</v>
      </c>
      <c r="H5">
        <v>250.83307554632484</v>
      </c>
      <c r="I5">
        <v>5.0166615109264967</v>
      </c>
      <c r="J5">
        <v>0.98066868168422505</v>
      </c>
      <c r="K5"/>
      <c r="L5"/>
    </row>
    <row r="6" spans="1:12" x14ac:dyDescent="0.25">
      <c r="A6">
        <v>2.9807216732297093</v>
      </c>
      <c r="B6">
        <v>3.9807216732297093</v>
      </c>
      <c r="C6">
        <v>7.9807216732297093</v>
      </c>
      <c r="F6" t="s">
        <v>186</v>
      </c>
      <c r="G6">
        <v>50</v>
      </c>
      <c r="H6">
        <v>300.83307554632484</v>
      </c>
      <c r="I6">
        <v>6.0166615109264967</v>
      </c>
      <c r="J6">
        <v>0.9806686816842205</v>
      </c>
      <c r="K6"/>
      <c r="L6"/>
    </row>
    <row r="7" spans="1:12" ht="16.5" thickBot="1" x14ac:dyDescent="0.3">
      <c r="A7">
        <v>5.6272841801546747</v>
      </c>
      <c r="B7">
        <v>6.6272841801546747</v>
      </c>
      <c r="C7">
        <v>10.627284180154675</v>
      </c>
      <c r="F7" s="10" t="s">
        <v>187</v>
      </c>
      <c r="G7" s="10">
        <v>50</v>
      </c>
      <c r="H7" s="10">
        <v>500.83307554632484</v>
      </c>
      <c r="I7" s="10">
        <v>10.016661510926497</v>
      </c>
      <c r="J7" s="10">
        <v>0.98066868168422816</v>
      </c>
      <c r="K7"/>
      <c r="L7"/>
    </row>
    <row r="8" spans="1:12" x14ac:dyDescent="0.25">
      <c r="A8">
        <v>6.0936309990938753</v>
      </c>
      <c r="B8">
        <v>7.0936309990938753</v>
      </c>
      <c r="C8">
        <v>11.093630999093875</v>
      </c>
      <c r="F8"/>
      <c r="G8"/>
      <c r="H8"/>
      <c r="I8"/>
      <c r="J8"/>
      <c r="K8"/>
      <c r="L8"/>
    </row>
    <row r="9" spans="1:12" x14ac:dyDescent="0.25">
      <c r="A9">
        <v>5.2739250248851022</v>
      </c>
      <c r="B9">
        <v>6.2739250248851022</v>
      </c>
      <c r="C9">
        <v>10.273925024885102</v>
      </c>
      <c r="F9"/>
      <c r="G9"/>
      <c r="H9"/>
      <c r="I9"/>
      <c r="J9"/>
      <c r="K9"/>
      <c r="L9"/>
    </row>
    <row r="10" spans="1:12" ht="16.5" thickBot="1" x14ac:dyDescent="0.3">
      <c r="A10">
        <v>5.4986009116692003</v>
      </c>
      <c r="B10">
        <v>6.4986009116692003</v>
      </c>
      <c r="C10">
        <v>10.4986009116692</v>
      </c>
      <c r="F10" t="s">
        <v>195</v>
      </c>
      <c r="G10"/>
      <c r="H10"/>
      <c r="I10"/>
      <c r="J10"/>
      <c r="K10"/>
      <c r="L10"/>
    </row>
    <row r="11" spans="1:12" x14ac:dyDescent="0.25">
      <c r="A11">
        <v>6.1180213732586708</v>
      </c>
      <c r="B11">
        <v>7.1180213732586708</v>
      </c>
      <c r="C11">
        <v>11.118021373258671</v>
      </c>
      <c r="F11" s="11" t="s">
        <v>196</v>
      </c>
      <c r="G11" s="11" t="s">
        <v>197</v>
      </c>
      <c r="H11" s="11" t="s">
        <v>198</v>
      </c>
      <c r="I11" s="11" t="s">
        <v>199</v>
      </c>
      <c r="J11" s="11" t="s">
        <v>200</v>
      </c>
      <c r="K11" s="11" t="s">
        <v>201</v>
      </c>
      <c r="L11" s="11" t="s">
        <v>202</v>
      </c>
    </row>
    <row r="12" spans="1:12" x14ac:dyDescent="0.25">
      <c r="A12">
        <v>4.7884833646821789</v>
      </c>
      <c r="B12">
        <v>5.7884833646821789</v>
      </c>
      <c r="C12">
        <v>9.7884833646821789</v>
      </c>
      <c r="F12" t="s">
        <v>203</v>
      </c>
      <c r="G12">
        <v>699.99999999999943</v>
      </c>
      <c r="H12">
        <v>2</v>
      </c>
      <c r="I12">
        <v>349.99999999999972</v>
      </c>
      <c r="J12">
        <v>356.89933464470369</v>
      </c>
      <c r="K12">
        <v>3.8243485198793488E-57</v>
      </c>
      <c r="L12">
        <v>3.0576206516493913</v>
      </c>
    </row>
    <row r="13" spans="1:12" x14ac:dyDescent="0.25">
      <c r="A13">
        <v>6.7066167856683023</v>
      </c>
      <c r="B13">
        <v>7.7066167856683023</v>
      </c>
      <c r="C13">
        <v>11.706616785668302</v>
      </c>
      <c r="F13" t="s">
        <v>204</v>
      </c>
      <c r="G13">
        <v>144.15829620758154</v>
      </c>
      <c r="H13">
        <v>147</v>
      </c>
      <c r="I13">
        <v>0.98066868168422816</v>
      </c>
      <c r="J13"/>
      <c r="K13"/>
      <c r="L13"/>
    </row>
    <row r="14" spans="1:12" x14ac:dyDescent="0.25">
      <c r="A14">
        <v>2.8319101501256227</v>
      </c>
      <c r="B14">
        <v>3.8319101501256227</v>
      </c>
      <c r="C14">
        <v>7.8319101501256227</v>
      </c>
      <c r="F14"/>
      <c r="G14"/>
      <c r="H14"/>
      <c r="I14"/>
      <c r="J14"/>
      <c r="K14"/>
      <c r="L14"/>
    </row>
    <row r="15" spans="1:12" ht="16.5" thickBot="1" x14ac:dyDescent="0.3">
      <c r="A15">
        <v>5.2864157977455761</v>
      </c>
      <c r="B15">
        <v>6.2864157977455761</v>
      </c>
      <c r="C15">
        <v>10.286415797745576</v>
      </c>
      <c r="F15" s="10" t="s">
        <v>192</v>
      </c>
      <c r="G15" s="10">
        <v>844.15829620758097</v>
      </c>
      <c r="H15" s="10">
        <v>149</v>
      </c>
      <c r="I15" s="10"/>
      <c r="J15" s="10"/>
      <c r="K15" s="10"/>
      <c r="L15" s="10"/>
    </row>
    <row r="16" spans="1:12" x14ac:dyDescent="0.25">
      <c r="A16">
        <v>5.1641740254854085</v>
      </c>
      <c r="B16">
        <v>6.1641740254854085</v>
      </c>
      <c r="C16">
        <v>10.164174025485408</v>
      </c>
    </row>
    <row r="17" spans="1:3" x14ac:dyDescent="0.25">
      <c r="A17">
        <v>5.7134940460673533</v>
      </c>
      <c r="B17">
        <v>6.7134940460673533</v>
      </c>
      <c r="C17">
        <v>10.713494046067353</v>
      </c>
    </row>
    <row r="18" spans="1:3" x14ac:dyDescent="0.25">
      <c r="A18">
        <v>5.3482909960439429</v>
      </c>
      <c r="B18">
        <v>6.3482909960439429</v>
      </c>
      <c r="C18">
        <v>10.348290996043943</v>
      </c>
    </row>
    <row r="19" spans="1:3" x14ac:dyDescent="0.25">
      <c r="A19">
        <v>4.2747132182557834</v>
      </c>
      <c r="B19">
        <v>5.2747132182557834</v>
      </c>
      <c r="C19">
        <v>9.2747132182557834</v>
      </c>
    </row>
    <row r="20" spans="1:3" x14ac:dyDescent="0.25">
      <c r="A20">
        <v>4.8399346168298507</v>
      </c>
      <c r="B20">
        <v>5.8399346168298507</v>
      </c>
      <c r="C20">
        <v>9.8399346168298507</v>
      </c>
    </row>
    <row r="21" spans="1:3" x14ac:dyDescent="0.25">
      <c r="A21">
        <v>4.6780888977809809</v>
      </c>
      <c r="B21">
        <v>5.6780888977809809</v>
      </c>
      <c r="C21">
        <v>9.6780888977809809</v>
      </c>
    </row>
    <row r="22" spans="1:3" x14ac:dyDescent="0.25">
      <c r="A22">
        <v>5.958805230766302</v>
      </c>
      <c r="B22">
        <v>6.958805230766302</v>
      </c>
      <c r="C22">
        <v>10.958805230766302</v>
      </c>
    </row>
    <row r="23" spans="1:3" x14ac:dyDescent="0.25">
      <c r="A23">
        <v>4.8617488472518744</v>
      </c>
      <c r="B23">
        <v>5.8617488472518744</v>
      </c>
      <c r="C23">
        <v>9.8617488472518744</v>
      </c>
    </row>
    <row r="24" spans="1:3" x14ac:dyDescent="0.25">
      <c r="A24">
        <v>5.7126072887331247</v>
      </c>
      <c r="B24">
        <v>6.7126072887331247</v>
      </c>
      <c r="C24">
        <v>10.712607288733125</v>
      </c>
    </row>
    <row r="25" spans="1:3" x14ac:dyDescent="0.25">
      <c r="A25">
        <v>4.9636929715052247</v>
      </c>
      <c r="B25">
        <v>5.9636929715052247</v>
      </c>
      <c r="C25">
        <v>9.9636929715052247</v>
      </c>
    </row>
    <row r="26" spans="1:3" x14ac:dyDescent="0.25">
      <c r="A26">
        <v>4.5935445440409239</v>
      </c>
      <c r="B26">
        <v>5.5935445440409239</v>
      </c>
      <c r="C26">
        <v>9.5935445440409239</v>
      </c>
    </row>
    <row r="27" spans="1:3" x14ac:dyDescent="0.25">
      <c r="A27">
        <v>3.2361714501166716</v>
      </c>
      <c r="B27">
        <v>4.2361714501166716</v>
      </c>
      <c r="C27">
        <v>8.2361714501166716</v>
      </c>
    </row>
    <row r="28" spans="1:3" x14ac:dyDescent="0.25">
      <c r="A28">
        <v>5.2564922851888696</v>
      </c>
      <c r="B28">
        <v>6.2564922851888696</v>
      </c>
      <c r="C28">
        <v>10.25649228518887</v>
      </c>
    </row>
    <row r="29" spans="1:3" x14ac:dyDescent="0.25">
      <c r="A29">
        <v>3.7151886671199463</v>
      </c>
      <c r="B29">
        <v>4.7151886671199463</v>
      </c>
      <c r="C29">
        <v>8.7151886671199463</v>
      </c>
    </row>
    <row r="30" spans="1:3" x14ac:dyDescent="0.25">
      <c r="A30">
        <v>3.8395302352728322</v>
      </c>
      <c r="B30">
        <v>4.8395302352728322</v>
      </c>
      <c r="C30">
        <v>8.8395302352728322</v>
      </c>
    </row>
    <row r="31" spans="1:3" x14ac:dyDescent="0.25">
      <c r="A31">
        <v>5.760674083721824</v>
      </c>
      <c r="B31">
        <v>6.760674083721824</v>
      </c>
      <c r="C31">
        <v>10.760674083721824</v>
      </c>
    </row>
    <row r="32" spans="1:3" x14ac:dyDescent="0.25">
      <c r="A32">
        <v>4.4951531334663741</v>
      </c>
      <c r="B32">
        <v>5.4951531334663741</v>
      </c>
      <c r="C32">
        <v>9.4951531334663741</v>
      </c>
    </row>
    <row r="33" spans="1:3" x14ac:dyDescent="0.25">
      <c r="A33">
        <v>5.6802383722970262</v>
      </c>
      <c r="B33">
        <v>6.6802383722970262</v>
      </c>
      <c r="C33">
        <v>10.680238372297026</v>
      </c>
    </row>
    <row r="34" spans="1:3" x14ac:dyDescent="0.25">
      <c r="A34">
        <v>4.4223401245108107</v>
      </c>
      <c r="B34">
        <v>5.4223401245108107</v>
      </c>
      <c r="C34">
        <v>9.4223401245108107</v>
      </c>
    </row>
    <row r="35" spans="1:3" x14ac:dyDescent="0.25">
      <c r="A35">
        <v>5.4701269062934443</v>
      </c>
      <c r="B35">
        <v>6.4701269062934443</v>
      </c>
      <c r="C35">
        <v>10.470126906293444</v>
      </c>
    </row>
    <row r="36" spans="1:3" x14ac:dyDescent="0.25">
      <c r="A36">
        <v>4.3754136085044593</v>
      </c>
      <c r="B36">
        <v>5.3754136085044593</v>
      </c>
      <c r="C36">
        <v>9.3754136085044593</v>
      </c>
    </row>
    <row r="37" spans="1:3" x14ac:dyDescent="0.25">
      <c r="A37">
        <v>4.7832389908580808</v>
      </c>
      <c r="B37">
        <v>5.7832389908580808</v>
      </c>
      <c r="C37">
        <v>9.7832389908580808</v>
      </c>
    </row>
    <row r="38" spans="1:3" x14ac:dyDescent="0.25">
      <c r="A38">
        <v>2.3503145156428218</v>
      </c>
      <c r="B38">
        <v>3.3503145156428218</v>
      </c>
      <c r="C38">
        <v>7.3503145156428218</v>
      </c>
    </row>
    <row r="39" spans="1:3" x14ac:dyDescent="0.25">
      <c r="A39">
        <v>4.734880020696437</v>
      </c>
      <c r="B39">
        <v>5.734880020696437</v>
      </c>
      <c r="C39">
        <v>9.734880020696437</v>
      </c>
    </row>
    <row r="40" spans="1:3" x14ac:dyDescent="0.25">
      <c r="A40">
        <v>4.8713201421196572</v>
      </c>
      <c r="B40">
        <v>5.8713201421196572</v>
      </c>
      <c r="C40">
        <v>9.8713201421196572</v>
      </c>
    </row>
    <row r="41" spans="1:3" x14ac:dyDescent="0.25">
      <c r="A41">
        <v>6.9533126760507002</v>
      </c>
      <c r="B41">
        <v>7.9533126760507002</v>
      </c>
      <c r="C41">
        <v>11.9533126760507</v>
      </c>
    </row>
    <row r="42" spans="1:3" x14ac:dyDescent="0.25">
      <c r="A42">
        <v>5.6242134986678138</v>
      </c>
      <c r="B42">
        <v>6.6242134986678138</v>
      </c>
      <c r="C42">
        <v>10.624213498667814</v>
      </c>
    </row>
    <row r="43" spans="1:3" x14ac:dyDescent="0.25">
      <c r="A43">
        <v>5.7214111974462867</v>
      </c>
      <c r="B43">
        <v>6.7214111974462867</v>
      </c>
      <c r="C43">
        <v>10.721411197446287</v>
      </c>
    </row>
    <row r="44" spans="1:3" x14ac:dyDescent="0.25">
      <c r="A44">
        <v>4.4557379068282899</v>
      </c>
      <c r="B44">
        <v>5.4557379068282899</v>
      </c>
      <c r="C44">
        <v>9.4557379068282899</v>
      </c>
    </row>
    <row r="45" spans="1:3" x14ac:dyDescent="0.25">
      <c r="A45">
        <v>5.5381525625125505</v>
      </c>
      <c r="B45">
        <v>6.5381525625125505</v>
      </c>
      <c r="C45">
        <v>10.538152562512551</v>
      </c>
    </row>
    <row r="46" spans="1:3" x14ac:dyDescent="0.25">
      <c r="A46">
        <v>4.7370196069823578</v>
      </c>
      <c r="B46">
        <v>5.7370196069823578</v>
      </c>
      <c r="C46">
        <v>9.7370196069823578</v>
      </c>
    </row>
    <row r="47" spans="1:3" x14ac:dyDescent="0.25">
      <c r="A47">
        <v>4.4470226738485508</v>
      </c>
      <c r="B47">
        <v>5.4470226738485508</v>
      </c>
      <c r="C47">
        <v>9.4470226738485508</v>
      </c>
    </row>
    <row r="48" spans="1:3" x14ac:dyDescent="0.25">
      <c r="A48">
        <v>6.7594902601558715</v>
      </c>
      <c r="B48">
        <v>7.7594902601558715</v>
      </c>
      <c r="C48">
        <v>11.759490260155872</v>
      </c>
    </row>
    <row r="49" spans="1:3" x14ac:dyDescent="0.25">
      <c r="A49">
        <v>5.3062393716390943</v>
      </c>
      <c r="B49">
        <v>6.3062393716390943</v>
      </c>
      <c r="C49">
        <v>10.306239371639094</v>
      </c>
    </row>
    <row r="50" spans="1:3" x14ac:dyDescent="0.25">
      <c r="A50">
        <v>6.5849400369916111</v>
      </c>
      <c r="B50">
        <v>7.5849400369916111</v>
      </c>
      <c r="C50">
        <v>11.584940036991611</v>
      </c>
    </row>
    <row r="51" spans="1:3" x14ac:dyDescent="0.25">
      <c r="A51">
        <v>5.3072011622862192</v>
      </c>
      <c r="B51">
        <v>6.3072011622862192</v>
      </c>
      <c r="C51">
        <v>10.307201162286219</v>
      </c>
    </row>
  </sheetData>
  <sheetProtection selectLockedCells="1" selectUnlockedCell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"/>
  <sheetViews>
    <sheetView zoomScale="110" zoomScaleNormal="110" workbookViewId="0">
      <selection activeCell="I6" sqref="I6"/>
    </sheetView>
  </sheetViews>
  <sheetFormatPr defaultColWidth="8.85546875" defaultRowHeight="15" x14ac:dyDescent="0.25"/>
  <cols>
    <col min="1" max="1" width="8.5703125" bestFit="1" customWidth="1"/>
    <col min="2" max="2" width="17.42578125" bestFit="1" customWidth="1"/>
    <col min="5" max="5" width="16.5703125" bestFit="1" customWidth="1"/>
  </cols>
  <sheetData>
    <row r="1" spans="1:7" x14ac:dyDescent="0.25">
      <c r="A1" s="1" t="s">
        <v>205</v>
      </c>
      <c r="B1" s="1" t="s">
        <v>206</v>
      </c>
      <c r="E1" s="1" t="s">
        <v>213</v>
      </c>
      <c r="F1">
        <f>SUM(B2:B7)</f>
        <v>34</v>
      </c>
    </row>
    <row r="2" spans="1:7" x14ac:dyDescent="0.25">
      <c r="A2" t="s">
        <v>207</v>
      </c>
      <c r="B2">
        <v>6</v>
      </c>
      <c r="E2" s="1" t="s">
        <v>214</v>
      </c>
      <c r="F2" s="12">
        <f>B2+B7</f>
        <v>6</v>
      </c>
      <c r="G2">
        <v>6</v>
      </c>
    </row>
    <row r="3" spans="1:7" x14ac:dyDescent="0.25">
      <c r="A3" t="s">
        <v>208</v>
      </c>
      <c r="B3">
        <v>3</v>
      </c>
      <c r="E3" s="1" t="s">
        <v>215</v>
      </c>
      <c r="F3">
        <f>B2+B3</f>
        <v>9</v>
      </c>
      <c r="G3">
        <v>9</v>
      </c>
    </row>
    <row r="4" spans="1:7" x14ac:dyDescent="0.25">
      <c r="A4" t="s">
        <v>209</v>
      </c>
      <c r="B4">
        <v>10</v>
      </c>
      <c r="E4" s="1" t="s">
        <v>216</v>
      </c>
      <c r="F4">
        <f>B3+B4</f>
        <v>13</v>
      </c>
      <c r="G4">
        <v>13</v>
      </c>
    </row>
    <row r="5" spans="1:7" x14ac:dyDescent="0.25">
      <c r="A5" t="s">
        <v>210</v>
      </c>
      <c r="B5">
        <v>0</v>
      </c>
      <c r="E5" s="1" t="s">
        <v>217</v>
      </c>
      <c r="F5" s="12">
        <f>B4+B5</f>
        <v>10</v>
      </c>
      <c r="G5">
        <v>5</v>
      </c>
    </row>
    <row r="6" spans="1:7" x14ac:dyDescent="0.25">
      <c r="A6" t="s">
        <v>211</v>
      </c>
      <c r="B6">
        <v>15</v>
      </c>
      <c r="E6" s="1" t="s">
        <v>218</v>
      </c>
      <c r="F6" s="12">
        <f>B5+B6</f>
        <v>15</v>
      </c>
      <c r="G6">
        <v>15</v>
      </c>
    </row>
    <row r="7" spans="1:7" x14ac:dyDescent="0.25">
      <c r="A7" t="s">
        <v>212</v>
      </c>
      <c r="B7">
        <v>0</v>
      </c>
      <c r="E7" s="1" t="s">
        <v>219</v>
      </c>
      <c r="F7" s="12">
        <f>B6+B7</f>
        <v>15</v>
      </c>
      <c r="G7">
        <v>5</v>
      </c>
    </row>
  </sheetData>
  <sheetProtection selectLockedCells="1" selectUnlockedCell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959"/>
  <sheetViews>
    <sheetView workbookViewId="0">
      <selection activeCell="E34" sqref="E34"/>
    </sheetView>
  </sheetViews>
  <sheetFormatPr defaultColWidth="8.85546875" defaultRowHeight="15" x14ac:dyDescent="0.25"/>
  <cols>
    <col min="2" max="2" width="15.28515625" bestFit="1" customWidth="1"/>
    <col min="3" max="3" width="9" bestFit="1" customWidth="1"/>
    <col min="4" max="4" width="19.28515625" bestFit="1" customWidth="1"/>
    <col min="5" max="5" width="17.85546875" bestFit="1" customWidth="1"/>
    <col min="9" max="9" width="49.28515625" bestFit="1" customWidth="1"/>
    <col min="16" max="16" width="49.28515625" bestFit="1" customWidth="1"/>
  </cols>
  <sheetData>
    <row r="1" spans="1:5" x14ac:dyDescent="0.25">
      <c r="A1" s="1" t="s">
        <v>175</v>
      </c>
      <c r="B1" s="1" t="s">
        <v>81</v>
      </c>
      <c r="C1" s="1" t="s">
        <v>176</v>
      </c>
      <c r="D1" s="13" t="s">
        <v>80</v>
      </c>
      <c r="E1" s="2"/>
    </row>
    <row r="2" spans="1:5" x14ac:dyDescent="0.25">
      <c r="A2">
        <v>2000</v>
      </c>
      <c r="B2" t="s">
        <v>94</v>
      </c>
      <c r="C2">
        <v>1849478</v>
      </c>
      <c r="D2" s="2" t="str">
        <f>VLOOKUP(B2,'İl-Bölge'!$A:$B,2,FALSE)</f>
        <v>Akdeniz</v>
      </c>
      <c r="E2" s="2"/>
    </row>
    <row r="3" spans="1:5" x14ac:dyDescent="0.25">
      <c r="A3">
        <v>2010</v>
      </c>
      <c r="B3" t="s">
        <v>94</v>
      </c>
      <c r="C3">
        <v>2085225</v>
      </c>
      <c r="D3" s="2" t="str">
        <f>VLOOKUP(B3,'İl-Bölge'!$A:$B,2,FALSE)</f>
        <v>Akdeniz</v>
      </c>
      <c r="E3" s="2"/>
    </row>
    <row r="4" spans="1:5" x14ac:dyDescent="0.25">
      <c r="A4">
        <v>2020</v>
      </c>
      <c r="B4" t="s">
        <v>94</v>
      </c>
      <c r="C4">
        <v>2258718</v>
      </c>
      <c r="D4" s="2" t="str">
        <f>VLOOKUP(B4,'İl-Bölge'!$A:$B,2,FALSE)</f>
        <v>Akdeniz</v>
      </c>
      <c r="E4" s="2"/>
    </row>
    <row r="5" spans="1:5" x14ac:dyDescent="0.25">
      <c r="A5">
        <v>2024</v>
      </c>
      <c r="B5" t="s">
        <v>94</v>
      </c>
      <c r="C5">
        <v>2280484</v>
      </c>
      <c r="D5" s="2" t="str">
        <f>VLOOKUP(B5,'İl-Bölge'!$A:$B,2,FALSE)</f>
        <v>Akdeniz</v>
      </c>
      <c r="E5" s="2"/>
    </row>
    <row r="6" spans="1:5" x14ac:dyDescent="0.25">
      <c r="A6">
        <v>2025</v>
      </c>
      <c r="B6" t="s">
        <v>94</v>
      </c>
      <c r="C6">
        <v>2283609</v>
      </c>
      <c r="D6" s="2" t="str">
        <f>VLOOKUP(B6,'İl-Bölge'!$A:$B,2,FALSE)</f>
        <v>Akdeniz</v>
      </c>
      <c r="E6" s="2"/>
    </row>
    <row r="7" spans="1:5" ht="30" x14ac:dyDescent="0.25">
      <c r="A7">
        <v>2000</v>
      </c>
      <c r="B7" t="s">
        <v>95</v>
      </c>
      <c r="C7">
        <v>623811</v>
      </c>
      <c r="D7" s="2" t="str">
        <f>VLOOKUP(B7,'İl-Bölge'!$A:$B,2,FALSE)</f>
        <v>Güneydoğu Anadolu</v>
      </c>
      <c r="E7" s="2"/>
    </row>
    <row r="8" spans="1:5" ht="30" x14ac:dyDescent="0.25">
      <c r="A8">
        <v>2010</v>
      </c>
      <c r="B8" t="s">
        <v>95</v>
      </c>
      <c r="C8">
        <v>590935</v>
      </c>
      <c r="D8" s="2" t="str">
        <f>VLOOKUP(B8,'İl-Bölge'!$A:$B,2,FALSE)</f>
        <v>Güneydoğu Anadolu</v>
      </c>
      <c r="E8" s="2"/>
    </row>
    <row r="9" spans="1:5" ht="30" x14ac:dyDescent="0.25">
      <c r="A9">
        <v>2020</v>
      </c>
      <c r="B9" t="s">
        <v>95</v>
      </c>
      <c r="C9">
        <v>632459</v>
      </c>
      <c r="D9" s="2" t="str">
        <f>VLOOKUP(B9,'İl-Bölge'!$A:$B,2,FALSE)</f>
        <v>Güneydoğu Anadolu</v>
      </c>
      <c r="E9" s="2"/>
    </row>
    <row r="10" spans="1:5" ht="30" x14ac:dyDescent="0.25">
      <c r="A10">
        <v>2024</v>
      </c>
      <c r="B10" t="s">
        <v>95</v>
      </c>
      <c r="C10">
        <v>611037</v>
      </c>
      <c r="D10" s="2" t="str">
        <f>VLOOKUP(B10,'İl-Bölge'!$A:$B,2,FALSE)</f>
        <v>Güneydoğu Anadolu</v>
      </c>
      <c r="E10" s="2"/>
    </row>
    <row r="11" spans="1:5" ht="30" x14ac:dyDescent="0.25">
      <c r="A11">
        <v>2025</v>
      </c>
      <c r="B11" t="s">
        <v>95</v>
      </c>
      <c r="C11">
        <v>617821</v>
      </c>
      <c r="D11" s="2" t="str">
        <f>VLOOKUP(B11,'İl-Bölge'!$A:$B,2,FALSE)</f>
        <v>Güneydoğu Anadolu</v>
      </c>
      <c r="E11" s="2"/>
    </row>
    <row r="12" spans="1:5" x14ac:dyDescent="0.25">
      <c r="A12">
        <v>2000</v>
      </c>
      <c r="B12" t="s">
        <v>96</v>
      </c>
      <c r="C12">
        <v>812416</v>
      </c>
      <c r="D12" s="2" t="str">
        <f>VLOOKUP(B12,'İl-Bölge'!$A:$B,2,FALSE)</f>
        <v>Ege</v>
      </c>
      <c r="E12" s="2"/>
    </row>
    <row r="13" spans="1:5" x14ac:dyDescent="0.25">
      <c r="A13">
        <v>2010</v>
      </c>
      <c r="B13" t="s">
        <v>96</v>
      </c>
      <c r="C13">
        <v>697559</v>
      </c>
      <c r="D13" s="2" t="str">
        <f>VLOOKUP(B13,'İl-Bölge'!$A:$B,2,FALSE)</f>
        <v>Ege</v>
      </c>
      <c r="E13" s="2"/>
    </row>
    <row r="14" spans="1:5" x14ac:dyDescent="0.25">
      <c r="A14">
        <v>2020</v>
      </c>
      <c r="B14" t="s">
        <v>96</v>
      </c>
      <c r="C14">
        <v>736912</v>
      </c>
      <c r="D14" s="2" t="str">
        <f>VLOOKUP(B14,'İl-Bölge'!$A:$B,2,FALSE)</f>
        <v>Ege</v>
      </c>
      <c r="E14" s="2"/>
    </row>
    <row r="15" spans="1:5" x14ac:dyDescent="0.25">
      <c r="A15">
        <v>2024</v>
      </c>
      <c r="B15" t="s">
        <v>96</v>
      </c>
      <c r="C15">
        <v>750193</v>
      </c>
      <c r="D15" s="2" t="str">
        <f>VLOOKUP(B15,'İl-Bölge'!$A:$B,2,FALSE)</f>
        <v>Ege</v>
      </c>
      <c r="E15" s="2"/>
    </row>
    <row r="16" spans="1:5" x14ac:dyDescent="0.25">
      <c r="A16">
        <v>2025</v>
      </c>
      <c r="B16" t="s">
        <v>96</v>
      </c>
      <c r="C16">
        <v>751808</v>
      </c>
      <c r="D16" s="2" t="str">
        <f>VLOOKUP(B16,'İl-Bölge'!$A:$B,2,FALSE)</f>
        <v>Ege</v>
      </c>
      <c r="E16" s="2"/>
    </row>
    <row r="17" spans="1:5" x14ac:dyDescent="0.25">
      <c r="A17">
        <v>2000</v>
      </c>
      <c r="B17" t="s">
        <v>97</v>
      </c>
      <c r="C17">
        <v>528744</v>
      </c>
      <c r="D17" s="2" t="str">
        <f>VLOOKUP(B17,'İl-Bölge'!$A:$B,2,FALSE)</f>
        <v>Doğu Anadolu</v>
      </c>
      <c r="E17" s="2"/>
    </row>
    <row r="18" spans="1:5" x14ac:dyDescent="0.25">
      <c r="A18">
        <v>2010</v>
      </c>
      <c r="B18" t="s">
        <v>97</v>
      </c>
      <c r="C18">
        <v>542022</v>
      </c>
      <c r="D18" s="2" t="str">
        <f>VLOOKUP(B18,'İl-Bölge'!$A:$B,2,FALSE)</f>
        <v>Doğu Anadolu</v>
      </c>
      <c r="E18" s="2"/>
    </row>
    <row r="19" spans="1:5" x14ac:dyDescent="0.25">
      <c r="A19">
        <v>2020</v>
      </c>
      <c r="B19" t="s">
        <v>97</v>
      </c>
      <c r="C19">
        <v>535435</v>
      </c>
      <c r="D19" s="2" t="str">
        <f>VLOOKUP(B19,'İl-Bölge'!$A:$B,2,FALSE)</f>
        <v>Doğu Anadolu</v>
      </c>
      <c r="E19" s="2"/>
    </row>
    <row r="20" spans="1:5" x14ac:dyDescent="0.25">
      <c r="A20">
        <v>2024</v>
      </c>
      <c r="B20" t="s">
        <v>97</v>
      </c>
      <c r="C20">
        <v>499801</v>
      </c>
      <c r="D20" s="2" t="str">
        <f>VLOOKUP(B20,'İl-Bölge'!$A:$B,2,FALSE)</f>
        <v>Doğu Anadolu</v>
      </c>
      <c r="E20" s="2"/>
    </row>
    <row r="21" spans="1:5" x14ac:dyDescent="0.25">
      <c r="A21">
        <v>2025</v>
      </c>
      <c r="B21" t="s">
        <v>97</v>
      </c>
      <c r="C21">
        <v>491489</v>
      </c>
      <c r="D21" s="2" t="str">
        <f>VLOOKUP(B21,'İl-Bölge'!$A:$B,2,FALSE)</f>
        <v>Doğu Anadolu</v>
      </c>
      <c r="E21" s="2"/>
    </row>
    <row r="22" spans="1:5" x14ac:dyDescent="0.25">
      <c r="A22">
        <v>2000</v>
      </c>
      <c r="B22" t="s">
        <v>161</v>
      </c>
      <c r="C22">
        <v>396084</v>
      </c>
      <c r="D22" s="2" t="str">
        <f>VLOOKUP(B22,'İl-Bölge'!$A:$B,2,FALSE)</f>
        <v>İç Anadolu</v>
      </c>
      <c r="E22" s="2"/>
    </row>
    <row r="23" spans="1:5" x14ac:dyDescent="0.25">
      <c r="A23">
        <v>2010</v>
      </c>
      <c r="B23" t="s">
        <v>161</v>
      </c>
      <c r="C23">
        <v>377505</v>
      </c>
      <c r="D23" s="2" t="str">
        <f>VLOOKUP(B23,'İl-Bölge'!$A:$B,2,FALSE)</f>
        <v>İç Anadolu</v>
      </c>
      <c r="E23" s="2"/>
    </row>
    <row r="24" spans="1:5" x14ac:dyDescent="0.25">
      <c r="A24">
        <v>2020</v>
      </c>
      <c r="B24" t="s">
        <v>161</v>
      </c>
      <c r="C24">
        <v>423011</v>
      </c>
      <c r="D24" s="2" t="str">
        <f>VLOOKUP(B24,'İl-Bölge'!$A:$B,2,FALSE)</f>
        <v>İç Anadolu</v>
      </c>
      <c r="E24" s="2"/>
    </row>
    <row r="25" spans="1:5" x14ac:dyDescent="0.25">
      <c r="A25">
        <v>2024</v>
      </c>
      <c r="B25" t="s">
        <v>161</v>
      </c>
      <c r="C25">
        <v>439474</v>
      </c>
      <c r="D25" s="2" t="str">
        <f>VLOOKUP(B25,'İl-Bölge'!$A:$B,2,FALSE)</f>
        <v>İç Anadolu</v>
      </c>
      <c r="E25" s="2"/>
    </row>
    <row r="26" spans="1:5" x14ac:dyDescent="0.25">
      <c r="A26">
        <v>2025</v>
      </c>
      <c r="B26" t="s">
        <v>161</v>
      </c>
      <c r="C26">
        <v>441136</v>
      </c>
      <c r="D26" s="2" t="str">
        <f>VLOOKUP(B26,'İl-Bölge'!$A:$B,2,FALSE)</f>
        <v>İç Anadolu</v>
      </c>
      <c r="E26" s="2"/>
    </row>
    <row r="27" spans="1:5" x14ac:dyDescent="0.25">
      <c r="A27">
        <v>2000</v>
      </c>
      <c r="B27" t="s">
        <v>98</v>
      </c>
      <c r="C27">
        <v>365231</v>
      </c>
      <c r="D27" s="2" t="str">
        <f>VLOOKUP(B27,'İl-Bölge'!$A:$B,2,FALSE)</f>
        <v>Karadeniz</v>
      </c>
      <c r="E27" s="2"/>
    </row>
    <row r="28" spans="1:5" x14ac:dyDescent="0.25">
      <c r="A28">
        <v>2010</v>
      </c>
      <c r="B28" t="s">
        <v>98</v>
      </c>
      <c r="C28">
        <v>334786</v>
      </c>
      <c r="D28" s="2" t="str">
        <f>VLOOKUP(B28,'İl-Bölge'!$A:$B,2,FALSE)</f>
        <v>Karadeniz</v>
      </c>
      <c r="E28" s="2"/>
    </row>
    <row r="29" spans="1:5" x14ac:dyDescent="0.25">
      <c r="A29">
        <v>2020</v>
      </c>
      <c r="B29" t="s">
        <v>98</v>
      </c>
      <c r="C29">
        <v>335494</v>
      </c>
      <c r="D29" s="2" t="str">
        <f>VLOOKUP(B29,'İl-Bölge'!$A:$B,2,FALSE)</f>
        <v>Karadeniz</v>
      </c>
      <c r="E29" s="2"/>
    </row>
    <row r="30" spans="1:5" x14ac:dyDescent="0.25">
      <c r="A30">
        <v>2024</v>
      </c>
      <c r="B30" t="s">
        <v>98</v>
      </c>
      <c r="C30">
        <v>342378</v>
      </c>
      <c r="D30" s="2" t="str">
        <f>VLOOKUP(B30,'İl-Bölge'!$A:$B,2,FALSE)</f>
        <v>Karadeniz</v>
      </c>
      <c r="E30" s="2"/>
    </row>
    <row r="31" spans="1:5" x14ac:dyDescent="0.25">
      <c r="A31">
        <v>2025</v>
      </c>
      <c r="B31" t="s">
        <v>98</v>
      </c>
      <c r="C31">
        <v>342242</v>
      </c>
      <c r="D31" s="2" t="str">
        <f>VLOOKUP(B31,'İl-Bölge'!$A:$B,2,FALSE)</f>
        <v>Karadeniz</v>
      </c>
      <c r="E31" s="2"/>
    </row>
    <row r="32" spans="1:5" x14ac:dyDescent="0.25">
      <c r="A32">
        <v>2000</v>
      </c>
      <c r="B32" t="s">
        <v>99</v>
      </c>
      <c r="C32">
        <v>4007860</v>
      </c>
      <c r="D32" s="2" t="str">
        <f>VLOOKUP(B32,'İl-Bölge'!$A:$B,2,FALSE)</f>
        <v>İç Anadolu</v>
      </c>
      <c r="E32" s="2"/>
    </row>
    <row r="33" spans="1:5" x14ac:dyDescent="0.25">
      <c r="A33">
        <v>2010</v>
      </c>
      <c r="B33" t="s">
        <v>99</v>
      </c>
      <c r="C33">
        <v>4771716</v>
      </c>
      <c r="D33" s="2" t="str">
        <f>VLOOKUP(B33,'İl-Bölge'!$A:$B,2,FALSE)</f>
        <v>İç Anadolu</v>
      </c>
      <c r="E33" s="2"/>
    </row>
    <row r="34" spans="1:5" x14ac:dyDescent="0.25">
      <c r="A34">
        <v>2020</v>
      </c>
      <c r="B34" t="s">
        <v>99</v>
      </c>
      <c r="C34">
        <v>5663322</v>
      </c>
      <c r="D34" s="2" t="str">
        <f>VLOOKUP(B34,'İl-Bölge'!$A:$B,2,FALSE)</f>
        <v>İç Anadolu</v>
      </c>
      <c r="E34" s="2"/>
    </row>
    <row r="35" spans="1:5" x14ac:dyDescent="0.25">
      <c r="A35">
        <v>2024</v>
      </c>
      <c r="B35" t="s">
        <v>99</v>
      </c>
      <c r="C35">
        <v>5864049</v>
      </c>
      <c r="D35" s="2" t="str">
        <f>VLOOKUP(B35,'İl-Bölge'!$A:$B,2,FALSE)</f>
        <v>İç Anadolu</v>
      </c>
      <c r="E35" s="2"/>
    </row>
    <row r="36" spans="1:5" x14ac:dyDescent="0.25">
      <c r="A36">
        <v>2025</v>
      </c>
      <c r="B36" t="s">
        <v>99</v>
      </c>
      <c r="C36">
        <v>5910320</v>
      </c>
      <c r="D36" s="2" t="str">
        <f>VLOOKUP(B36,'İl-Bölge'!$A:$B,2,FALSE)</f>
        <v>İç Anadolu</v>
      </c>
      <c r="E36" s="2"/>
    </row>
    <row r="37" spans="1:5" x14ac:dyDescent="0.25">
      <c r="A37">
        <v>2000</v>
      </c>
      <c r="B37" t="s">
        <v>100</v>
      </c>
      <c r="C37">
        <v>1719751</v>
      </c>
      <c r="D37" s="2" t="str">
        <f>VLOOKUP(B37,'İl-Bölge'!$A:$B,2,FALSE)</f>
        <v>Akdeniz</v>
      </c>
      <c r="E37" s="2"/>
    </row>
    <row r="38" spans="1:5" x14ac:dyDescent="0.25">
      <c r="A38">
        <v>2010</v>
      </c>
      <c r="B38" t="s">
        <v>100</v>
      </c>
      <c r="C38">
        <v>1978333</v>
      </c>
      <c r="D38" s="2" t="str">
        <f>VLOOKUP(B38,'İl-Bölge'!$A:$B,2,FALSE)</f>
        <v>Akdeniz</v>
      </c>
      <c r="E38" s="2"/>
    </row>
    <row r="39" spans="1:5" x14ac:dyDescent="0.25">
      <c r="A39">
        <v>2020</v>
      </c>
      <c r="B39" t="s">
        <v>100</v>
      </c>
      <c r="C39">
        <v>2548308</v>
      </c>
      <c r="D39" s="2" t="str">
        <f>VLOOKUP(B39,'İl-Bölge'!$A:$B,2,FALSE)</f>
        <v>Akdeniz</v>
      </c>
      <c r="E39" s="2"/>
    </row>
    <row r="40" spans="1:5" x14ac:dyDescent="0.25">
      <c r="A40">
        <v>2024</v>
      </c>
      <c r="B40" t="s">
        <v>100</v>
      </c>
      <c r="C40">
        <v>2722103</v>
      </c>
      <c r="D40" s="2" t="str">
        <f>VLOOKUP(B40,'İl-Bölge'!$A:$B,2,FALSE)</f>
        <v>Akdeniz</v>
      </c>
      <c r="E40" s="2"/>
    </row>
    <row r="41" spans="1:5" x14ac:dyDescent="0.25">
      <c r="A41">
        <v>2025</v>
      </c>
      <c r="B41" t="s">
        <v>100</v>
      </c>
      <c r="C41">
        <v>2777677</v>
      </c>
      <c r="D41" s="2" t="str">
        <f>VLOOKUP(B41,'İl-Bölge'!$A:$B,2,FALSE)</f>
        <v>Akdeniz</v>
      </c>
      <c r="E41" s="2"/>
    </row>
    <row r="42" spans="1:5" x14ac:dyDescent="0.25">
      <c r="A42">
        <v>2000</v>
      </c>
      <c r="B42" t="s">
        <v>168</v>
      </c>
      <c r="C42">
        <v>133756</v>
      </c>
      <c r="D42" s="2" t="str">
        <f>VLOOKUP(B42,'İl-Bölge'!$A:$B,2,FALSE)</f>
        <v>Doğu Anadolu</v>
      </c>
      <c r="E42" s="2"/>
    </row>
    <row r="43" spans="1:5" x14ac:dyDescent="0.25">
      <c r="A43">
        <v>2010</v>
      </c>
      <c r="B43" t="s">
        <v>168</v>
      </c>
      <c r="C43">
        <v>105454</v>
      </c>
      <c r="D43" s="2" t="str">
        <f>VLOOKUP(B43,'İl-Bölge'!$A:$B,2,FALSE)</f>
        <v>Doğu Anadolu</v>
      </c>
      <c r="E43" s="2"/>
    </row>
    <row r="44" spans="1:5" x14ac:dyDescent="0.25">
      <c r="A44">
        <v>2020</v>
      </c>
      <c r="B44" t="s">
        <v>168</v>
      </c>
      <c r="C44">
        <v>96161</v>
      </c>
      <c r="D44" s="2" t="str">
        <f>VLOOKUP(B44,'İl-Bölge'!$A:$B,2,FALSE)</f>
        <v>Doğu Anadolu</v>
      </c>
      <c r="E44" s="2"/>
    </row>
    <row r="45" spans="1:5" x14ac:dyDescent="0.25">
      <c r="A45">
        <v>2024</v>
      </c>
      <c r="B45" t="s">
        <v>168</v>
      </c>
      <c r="C45">
        <v>91354</v>
      </c>
      <c r="D45" s="2" t="str">
        <f>VLOOKUP(B45,'İl-Bölge'!$A:$B,2,FALSE)</f>
        <v>Doğu Anadolu</v>
      </c>
      <c r="E45" s="2"/>
    </row>
    <row r="46" spans="1:5" x14ac:dyDescent="0.25">
      <c r="A46">
        <v>2025</v>
      </c>
      <c r="B46" t="s">
        <v>168</v>
      </c>
      <c r="C46">
        <v>90392</v>
      </c>
      <c r="D46" s="2" t="str">
        <f>VLOOKUP(B46,'İl-Bölge'!$A:$B,2,FALSE)</f>
        <v>Doğu Anadolu</v>
      </c>
      <c r="E46" s="2"/>
    </row>
    <row r="47" spans="1:5" x14ac:dyDescent="0.25">
      <c r="A47">
        <v>2000</v>
      </c>
      <c r="B47" t="s">
        <v>101</v>
      </c>
      <c r="C47">
        <v>191934</v>
      </c>
      <c r="D47" s="2" t="str">
        <f>VLOOKUP(B47,'İl-Bölge'!$A:$B,2,FALSE)</f>
        <v>Karadeniz</v>
      </c>
      <c r="E47" s="2"/>
    </row>
    <row r="48" spans="1:5" x14ac:dyDescent="0.25">
      <c r="A48">
        <v>2010</v>
      </c>
      <c r="B48" t="s">
        <v>101</v>
      </c>
      <c r="C48">
        <v>164759</v>
      </c>
      <c r="D48" s="2" t="str">
        <f>VLOOKUP(B48,'İl-Bölge'!$A:$B,2,FALSE)</f>
        <v>Karadeniz</v>
      </c>
      <c r="E48" s="2"/>
    </row>
    <row r="49" spans="1:5" x14ac:dyDescent="0.25">
      <c r="A49">
        <v>2020</v>
      </c>
      <c r="B49" t="s">
        <v>101</v>
      </c>
      <c r="C49">
        <v>169501</v>
      </c>
      <c r="D49" s="2" t="str">
        <f>VLOOKUP(B49,'İl-Bölge'!$A:$B,2,FALSE)</f>
        <v>Karadeniz</v>
      </c>
      <c r="E49" s="2"/>
    </row>
    <row r="50" spans="1:5" x14ac:dyDescent="0.25">
      <c r="A50">
        <v>2024</v>
      </c>
      <c r="B50" t="s">
        <v>101</v>
      </c>
      <c r="C50">
        <v>169280</v>
      </c>
      <c r="D50" s="2" t="str">
        <f>VLOOKUP(B50,'İl-Bölge'!$A:$B,2,FALSE)</f>
        <v>Karadeniz</v>
      </c>
      <c r="E50" s="2"/>
    </row>
    <row r="51" spans="1:5" x14ac:dyDescent="0.25">
      <c r="A51">
        <v>2025</v>
      </c>
      <c r="B51" t="s">
        <v>101</v>
      </c>
      <c r="C51">
        <v>167531</v>
      </c>
      <c r="D51" s="2" t="str">
        <f>VLOOKUP(B51,'İl-Bölge'!$A:$B,2,FALSE)</f>
        <v>Karadeniz</v>
      </c>
      <c r="E51" s="2"/>
    </row>
    <row r="52" spans="1:5" x14ac:dyDescent="0.25">
      <c r="A52">
        <v>2000</v>
      </c>
      <c r="B52" t="s">
        <v>102</v>
      </c>
      <c r="C52">
        <v>950757</v>
      </c>
      <c r="D52" s="2" t="str">
        <f>VLOOKUP(B52,'İl-Bölge'!$A:$B,2,FALSE)</f>
        <v>Ege</v>
      </c>
      <c r="E52" s="2"/>
    </row>
    <row r="53" spans="1:5" x14ac:dyDescent="0.25">
      <c r="A53">
        <v>2010</v>
      </c>
      <c r="B53" t="s">
        <v>102</v>
      </c>
      <c r="C53">
        <v>989862</v>
      </c>
      <c r="D53" s="2" t="str">
        <f>VLOOKUP(B53,'İl-Bölge'!$A:$B,2,FALSE)</f>
        <v>Ege</v>
      </c>
      <c r="E53" s="2"/>
    </row>
    <row r="54" spans="1:5" x14ac:dyDescent="0.25">
      <c r="A54">
        <v>2020</v>
      </c>
      <c r="B54" t="s">
        <v>102</v>
      </c>
      <c r="C54">
        <v>1119084</v>
      </c>
      <c r="D54" s="2" t="str">
        <f>VLOOKUP(B54,'İl-Bölge'!$A:$B,2,FALSE)</f>
        <v>Ege</v>
      </c>
      <c r="E54" s="2"/>
    </row>
    <row r="55" spans="1:5" x14ac:dyDescent="0.25">
      <c r="A55">
        <v>2024</v>
      </c>
      <c r="B55" t="s">
        <v>102</v>
      </c>
      <c r="C55">
        <v>1165943</v>
      </c>
      <c r="D55" s="2" t="str">
        <f>VLOOKUP(B55,'İl-Bölge'!$A:$B,2,FALSE)</f>
        <v>Ege</v>
      </c>
      <c r="E55" s="2"/>
    </row>
    <row r="56" spans="1:5" x14ac:dyDescent="0.25">
      <c r="A56">
        <v>2025</v>
      </c>
      <c r="B56" t="s">
        <v>102</v>
      </c>
      <c r="C56">
        <v>1172107</v>
      </c>
      <c r="D56" s="2" t="str">
        <f>VLOOKUP(B56,'İl-Bölge'!$A:$B,2,FALSE)</f>
        <v>Ege</v>
      </c>
      <c r="E56" s="2"/>
    </row>
    <row r="57" spans="1:5" x14ac:dyDescent="0.25">
      <c r="A57">
        <v>2000</v>
      </c>
      <c r="B57" t="s">
        <v>103</v>
      </c>
      <c r="C57">
        <v>1076347</v>
      </c>
      <c r="D57" s="2" t="str">
        <f>VLOOKUP(B57,'İl-Bölge'!$A:$B,2,FALSE)</f>
        <v>Marmara</v>
      </c>
      <c r="E57" s="2"/>
    </row>
    <row r="58" spans="1:5" x14ac:dyDescent="0.25">
      <c r="A58">
        <v>2010</v>
      </c>
      <c r="B58" t="s">
        <v>103</v>
      </c>
      <c r="C58">
        <v>1152323</v>
      </c>
      <c r="D58" s="2" t="str">
        <f>VLOOKUP(B58,'İl-Bölge'!$A:$B,2,FALSE)</f>
        <v>Marmara</v>
      </c>
      <c r="E58" s="2"/>
    </row>
    <row r="59" spans="1:5" x14ac:dyDescent="0.25">
      <c r="A59">
        <v>2020</v>
      </c>
      <c r="B59" t="s">
        <v>103</v>
      </c>
      <c r="C59">
        <v>1240285</v>
      </c>
      <c r="D59" s="2" t="str">
        <f>VLOOKUP(B59,'İl-Bölge'!$A:$B,2,FALSE)</f>
        <v>Marmara</v>
      </c>
      <c r="E59" s="2"/>
    </row>
    <row r="60" spans="1:5" x14ac:dyDescent="0.25">
      <c r="A60">
        <v>2024</v>
      </c>
      <c r="B60" t="s">
        <v>103</v>
      </c>
      <c r="C60">
        <v>1276096</v>
      </c>
      <c r="D60" s="2" t="str">
        <f>VLOOKUP(B60,'İl-Bölge'!$A:$B,2,FALSE)</f>
        <v>Marmara</v>
      </c>
      <c r="E60" s="2"/>
    </row>
    <row r="61" spans="1:5" x14ac:dyDescent="0.25">
      <c r="A61">
        <v>2025</v>
      </c>
      <c r="B61" t="s">
        <v>103</v>
      </c>
      <c r="C61">
        <v>1284517</v>
      </c>
      <c r="D61" s="2" t="str">
        <f>VLOOKUP(B61,'İl-Bölge'!$A:$B,2,FALSE)</f>
        <v>Marmara</v>
      </c>
      <c r="E61" s="2"/>
    </row>
    <row r="62" spans="1:5" x14ac:dyDescent="0.25">
      <c r="A62">
        <v>2000</v>
      </c>
      <c r="B62" t="s">
        <v>167</v>
      </c>
      <c r="C62">
        <v>184178</v>
      </c>
      <c r="D62" s="2" t="str">
        <f>VLOOKUP(B62,'İl-Bölge'!$A:$B,2,FALSE)</f>
        <v>Karadeniz</v>
      </c>
      <c r="E62" s="2"/>
    </row>
    <row r="63" spans="1:5" x14ac:dyDescent="0.25">
      <c r="A63">
        <v>2010</v>
      </c>
      <c r="B63" t="s">
        <v>167</v>
      </c>
      <c r="C63">
        <v>187758</v>
      </c>
      <c r="D63" s="2" t="str">
        <f>VLOOKUP(B63,'İl-Bölge'!$A:$B,2,FALSE)</f>
        <v>Karadeniz</v>
      </c>
      <c r="E63" s="2"/>
    </row>
    <row r="64" spans="1:5" x14ac:dyDescent="0.25">
      <c r="A64">
        <v>2020</v>
      </c>
      <c r="B64" t="s">
        <v>167</v>
      </c>
      <c r="C64">
        <v>198979</v>
      </c>
      <c r="D64" s="2" t="str">
        <f>VLOOKUP(B64,'İl-Bölge'!$A:$B,2,FALSE)</f>
        <v>Karadeniz</v>
      </c>
      <c r="E64" s="2"/>
    </row>
    <row r="65" spans="1:5" x14ac:dyDescent="0.25">
      <c r="A65">
        <v>2024</v>
      </c>
      <c r="B65" t="s">
        <v>167</v>
      </c>
      <c r="C65">
        <v>206715</v>
      </c>
      <c r="D65" s="2" t="str">
        <f>VLOOKUP(B65,'İl-Bölge'!$A:$B,2,FALSE)</f>
        <v>Karadeniz</v>
      </c>
      <c r="E65" s="2"/>
    </row>
    <row r="66" spans="1:5" x14ac:dyDescent="0.25">
      <c r="A66">
        <v>2025</v>
      </c>
      <c r="B66" t="s">
        <v>167</v>
      </c>
      <c r="C66">
        <v>206663</v>
      </c>
      <c r="D66" s="2" t="str">
        <f>VLOOKUP(B66,'İl-Bölge'!$A:$B,2,FALSE)</f>
        <v>Karadeniz</v>
      </c>
      <c r="E66" s="2"/>
    </row>
    <row r="67" spans="1:5" ht="30" x14ac:dyDescent="0.25">
      <c r="A67">
        <v>2000</v>
      </c>
      <c r="B67" t="s">
        <v>165</v>
      </c>
      <c r="C67">
        <v>456734</v>
      </c>
      <c r="D67" s="2" t="str">
        <f>VLOOKUP(B67,'İl-Bölge'!$A:$B,2,FALSE)</f>
        <v>Güneydoğu Anadolu</v>
      </c>
      <c r="E67" s="2"/>
    </row>
    <row r="68" spans="1:5" ht="30" x14ac:dyDescent="0.25">
      <c r="A68">
        <v>2010</v>
      </c>
      <c r="B68" t="s">
        <v>165</v>
      </c>
      <c r="C68">
        <v>510200</v>
      </c>
      <c r="D68" s="2" t="str">
        <f>VLOOKUP(B68,'İl-Bölge'!$A:$B,2,FALSE)</f>
        <v>Güneydoğu Anadolu</v>
      </c>
      <c r="E68" s="2"/>
    </row>
    <row r="69" spans="1:5" ht="30" x14ac:dyDescent="0.25">
      <c r="A69">
        <v>2020</v>
      </c>
      <c r="B69" t="s">
        <v>165</v>
      </c>
      <c r="C69">
        <v>620278</v>
      </c>
      <c r="D69" s="2" t="str">
        <f>VLOOKUP(B69,'İl-Bölge'!$A:$B,2,FALSE)</f>
        <v>Güneydoğu Anadolu</v>
      </c>
      <c r="E69" s="2"/>
    </row>
    <row r="70" spans="1:5" ht="30" x14ac:dyDescent="0.25">
      <c r="A70">
        <v>2024</v>
      </c>
      <c r="B70" t="s">
        <v>165</v>
      </c>
      <c r="C70">
        <v>654528</v>
      </c>
      <c r="D70" s="2" t="str">
        <f>VLOOKUP(B70,'İl-Bölge'!$A:$B,2,FALSE)</f>
        <v>Güneydoğu Anadolu</v>
      </c>
      <c r="E70" s="2"/>
    </row>
    <row r="71" spans="1:5" ht="30" x14ac:dyDescent="0.25">
      <c r="A71">
        <v>2025</v>
      </c>
      <c r="B71" t="s">
        <v>165</v>
      </c>
      <c r="C71">
        <v>662626</v>
      </c>
      <c r="D71" s="2" t="str">
        <f>VLOOKUP(B71,'İl-Bölge'!$A:$B,2,FALSE)</f>
        <v>Güneydoğu Anadolu</v>
      </c>
      <c r="E71" s="2"/>
    </row>
    <row r="72" spans="1:5" x14ac:dyDescent="0.25">
      <c r="A72">
        <v>2000</v>
      </c>
      <c r="B72" t="s">
        <v>162</v>
      </c>
      <c r="C72">
        <v>97358</v>
      </c>
      <c r="D72" s="2" t="str">
        <f>VLOOKUP(B72,'İl-Bölge'!$A:$B,2,FALSE)</f>
        <v>Karadeniz</v>
      </c>
      <c r="E72" s="2"/>
    </row>
    <row r="73" spans="1:5" x14ac:dyDescent="0.25">
      <c r="A73">
        <v>2010</v>
      </c>
      <c r="B73" t="s">
        <v>162</v>
      </c>
      <c r="C73">
        <v>74412</v>
      </c>
      <c r="D73" s="2" t="str">
        <f>VLOOKUP(B73,'İl-Bölge'!$A:$B,2,FALSE)</f>
        <v>Karadeniz</v>
      </c>
      <c r="E73" s="2"/>
    </row>
    <row r="74" spans="1:5" x14ac:dyDescent="0.25">
      <c r="A74">
        <v>2020</v>
      </c>
      <c r="B74" t="s">
        <v>162</v>
      </c>
      <c r="C74">
        <v>81910</v>
      </c>
      <c r="D74" s="2" t="str">
        <f>VLOOKUP(B74,'İl-Bölge'!$A:$B,2,FALSE)</f>
        <v>Karadeniz</v>
      </c>
      <c r="E74" s="2"/>
    </row>
    <row r="75" spans="1:5" x14ac:dyDescent="0.25">
      <c r="A75">
        <v>2024</v>
      </c>
      <c r="B75" t="s">
        <v>162</v>
      </c>
      <c r="C75">
        <v>83676</v>
      </c>
      <c r="D75" s="2" t="str">
        <f>VLOOKUP(B75,'İl-Bölge'!$A:$B,2,FALSE)</f>
        <v>Karadeniz</v>
      </c>
      <c r="E75" s="2"/>
    </row>
    <row r="76" spans="1:5" x14ac:dyDescent="0.25">
      <c r="A76">
        <v>2025</v>
      </c>
      <c r="B76" t="s">
        <v>162</v>
      </c>
      <c r="C76">
        <v>82836</v>
      </c>
      <c r="D76" s="2" t="str">
        <f>VLOOKUP(B76,'İl-Bölge'!$A:$B,2,FALSE)</f>
        <v>Karadeniz</v>
      </c>
      <c r="E76" s="2"/>
    </row>
    <row r="77" spans="1:5" x14ac:dyDescent="0.25">
      <c r="A77">
        <v>2000</v>
      </c>
      <c r="B77" t="s">
        <v>104</v>
      </c>
      <c r="C77">
        <v>194326</v>
      </c>
      <c r="D77" s="2" t="str">
        <f>VLOOKUP(B77,'İl-Bölge'!$A:$B,2,FALSE)</f>
        <v>Marmara</v>
      </c>
      <c r="E77" s="2"/>
    </row>
    <row r="78" spans="1:5" x14ac:dyDescent="0.25">
      <c r="A78">
        <v>2010</v>
      </c>
      <c r="B78" t="s">
        <v>104</v>
      </c>
      <c r="C78">
        <v>225381</v>
      </c>
      <c r="D78" s="2" t="str">
        <f>VLOOKUP(B78,'İl-Bölge'!$A:$B,2,FALSE)</f>
        <v>Marmara</v>
      </c>
      <c r="E78" s="2"/>
    </row>
    <row r="79" spans="1:5" x14ac:dyDescent="0.25">
      <c r="A79">
        <v>2020</v>
      </c>
      <c r="B79" t="s">
        <v>104</v>
      </c>
      <c r="C79">
        <v>218717</v>
      </c>
      <c r="D79" s="2" t="str">
        <f>VLOOKUP(B79,'İl-Bölge'!$A:$B,2,FALSE)</f>
        <v>Marmara</v>
      </c>
      <c r="E79" s="2"/>
    </row>
    <row r="80" spans="1:5" x14ac:dyDescent="0.25">
      <c r="A80">
        <v>2024</v>
      </c>
      <c r="B80" t="s">
        <v>104</v>
      </c>
      <c r="C80">
        <v>228495</v>
      </c>
      <c r="D80" s="2" t="str">
        <f>VLOOKUP(B80,'İl-Bölge'!$A:$B,2,FALSE)</f>
        <v>Marmara</v>
      </c>
      <c r="E80" s="2"/>
    </row>
    <row r="81" spans="1:5" x14ac:dyDescent="0.25">
      <c r="A81">
        <v>2025</v>
      </c>
      <c r="B81" t="s">
        <v>104</v>
      </c>
      <c r="C81">
        <v>228995</v>
      </c>
      <c r="D81" s="2" t="str">
        <f>VLOOKUP(B81,'İl-Bölge'!$A:$B,2,FALSE)</f>
        <v>Marmara</v>
      </c>
      <c r="E81" s="2"/>
    </row>
    <row r="82" spans="1:5" x14ac:dyDescent="0.25">
      <c r="A82">
        <v>2000</v>
      </c>
      <c r="B82" t="s">
        <v>105</v>
      </c>
      <c r="C82">
        <v>253739</v>
      </c>
      <c r="D82" s="2" t="str">
        <f>VLOOKUP(B82,'İl-Bölge'!$A:$B,2,FALSE)</f>
        <v>Doğu Anadolu</v>
      </c>
      <c r="E82" s="2"/>
    </row>
    <row r="83" spans="1:5" x14ac:dyDescent="0.25">
      <c r="A83">
        <v>2010</v>
      </c>
      <c r="B83" t="s">
        <v>105</v>
      </c>
      <c r="C83">
        <v>255170</v>
      </c>
      <c r="D83" s="2" t="str">
        <f>VLOOKUP(B83,'İl-Bölge'!$A:$B,2,FALSE)</f>
        <v>Doğu Anadolu</v>
      </c>
      <c r="E83" s="2"/>
    </row>
    <row r="84" spans="1:5" x14ac:dyDescent="0.25">
      <c r="A84">
        <v>2020</v>
      </c>
      <c r="B84" t="s">
        <v>105</v>
      </c>
      <c r="C84">
        <v>281768</v>
      </c>
      <c r="D84" s="2" t="str">
        <f>VLOOKUP(B84,'İl-Bölge'!$A:$B,2,FALSE)</f>
        <v>Doğu Anadolu</v>
      </c>
      <c r="E84" s="2"/>
    </row>
    <row r="85" spans="1:5" x14ac:dyDescent="0.25">
      <c r="A85">
        <v>2024</v>
      </c>
      <c r="B85" t="s">
        <v>105</v>
      </c>
      <c r="C85">
        <v>283276</v>
      </c>
      <c r="D85" s="2" t="str">
        <f>VLOOKUP(B85,'İl-Bölge'!$A:$B,2,FALSE)</f>
        <v>Doğu Anadolu</v>
      </c>
      <c r="E85" s="2"/>
    </row>
    <row r="86" spans="1:5" x14ac:dyDescent="0.25">
      <c r="A86">
        <v>2025</v>
      </c>
      <c r="B86" t="s">
        <v>105</v>
      </c>
      <c r="C86">
        <v>282299</v>
      </c>
      <c r="D86" s="2" t="str">
        <f>VLOOKUP(B86,'İl-Bölge'!$A:$B,2,FALSE)</f>
        <v>Doğu Anadolu</v>
      </c>
      <c r="E86" s="2"/>
    </row>
    <row r="87" spans="1:5" x14ac:dyDescent="0.25">
      <c r="A87">
        <v>2000</v>
      </c>
      <c r="B87" t="s">
        <v>106</v>
      </c>
      <c r="C87">
        <v>388678</v>
      </c>
      <c r="D87" s="2" t="str">
        <f>VLOOKUP(B87,'İl-Bölge'!$A:$B,2,FALSE)</f>
        <v>Doğu Anadolu</v>
      </c>
      <c r="E87" s="2"/>
    </row>
    <row r="88" spans="1:5" x14ac:dyDescent="0.25">
      <c r="A88">
        <v>2010</v>
      </c>
      <c r="B88" t="s">
        <v>106</v>
      </c>
      <c r="C88">
        <v>328767</v>
      </c>
      <c r="D88" s="2" t="str">
        <f>VLOOKUP(B88,'İl-Bölge'!$A:$B,2,FALSE)</f>
        <v>Doğu Anadolu</v>
      </c>
      <c r="E88" s="2"/>
    </row>
    <row r="89" spans="1:5" x14ac:dyDescent="0.25">
      <c r="A89">
        <v>2020</v>
      </c>
      <c r="B89" t="s">
        <v>106</v>
      </c>
      <c r="C89">
        <v>350994</v>
      </c>
      <c r="D89" s="2" t="str">
        <f>VLOOKUP(B89,'İl-Bölge'!$A:$B,2,FALSE)</f>
        <v>Doğu Anadolu</v>
      </c>
      <c r="E89" s="2"/>
    </row>
    <row r="90" spans="1:5" x14ac:dyDescent="0.25">
      <c r="A90">
        <v>2024</v>
      </c>
      <c r="B90" t="s">
        <v>106</v>
      </c>
      <c r="C90">
        <v>359808</v>
      </c>
      <c r="D90" s="2" t="str">
        <f>VLOOKUP(B90,'İl-Bölge'!$A:$B,2,FALSE)</f>
        <v>Doğu Anadolu</v>
      </c>
      <c r="E90" s="2"/>
    </row>
    <row r="91" spans="1:5" x14ac:dyDescent="0.25">
      <c r="A91">
        <v>2025</v>
      </c>
      <c r="B91" t="s">
        <v>106</v>
      </c>
      <c r="C91">
        <v>360423</v>
      </c>
      <c r="D91" s="2" t="str">
        <f>VLOOKUP(B91,'İl-Bölge'!$A:$B,2,FALSE)</f>
        <v>Doğu Anadolu</v>
      </c>
      <c r="E91" s="2"/>
    </row>
    <row r="92" spans="1:5" x14ac:dyDescent="0.25">
      <c r="A92">
        <v>2000</v>
      </c>
      <c r="B92" t="s">
        <v>107</v>
      </c>
      <c r="C92">
        <v>270654</v>
      </c>
      <c r="D92" s="2" t="str">
        <f>VLOOKUP(B92,'İl-Bölge'!$A:$B,2,FALSE)</f>
        <v>Karadeniz</v>
      </c>
      <c r="E92" s="2"/>
    </row>
    <row r="93" spans="1:5" x14ac:dyDescent="0.25">
      <c r="A93">
        <v>2010</v>
      </c>
      <c r="B93" t="s">
        <v>107</v>
      </c>
      <c r="C93">
        <v>271208</v>
      </c>
      <c r="D93" s="2" t="str">
        <f>VLOOKUP(B93,'İl-Bölge'!$A:$B,2,FALSE)</f>
        <v>Karadeniz</v>
      </c>
      <c r="E93" s="2"/>
    </row>
    <row r="94" spans="1:5" x14ac:dyDescent="0.25">
      <c r="A94">
        <v>2020</v>
      </c>
      <c r="B94" t="s">
        <v>107</v>
      </c>
      <c r="C94">
        <v>314802</v>
      </c>
      <c r="D94" s="2" t="str">
        <f>VLOOKUP(B94,'İl-Bölge'!$A:$B,2,FALSE)</f>
        <v>Karadeniz</v>
      </c>
      <c r="E94" s="2"/>
    </row>
    <row r="95" spans="1:5" x14ac:dyDescent="0.25">
      <c r="A95">
        <v>2024</v>
      </c>
      <c r="B95" t="s">
        <v>107</v>
      </c>
      <c r="C95">
        <v>326409</v>
      </c>
      <c r="D95" s="2" t="str">
        <f>VLOOKUP(B95,'İl-Bölge'!$A:$B,2,FALSE)</f>
        <v>Karadeniz</v>
      </c>
      <c r="E95" s="2"/>
    </row>
    <row r="96" spans="1:5" x14ac:dyDescent="0.25">
      <c r="A96">
        <v>2025</v>
      </c>
      <c r="B96" t="s">
        <v>107</v>
      </c>
      <c r="C96">
        <v>327173</v>
      </c>
      <c r="D96" s="2" t="str">
        <f>VLOOKUP(B96,'İl-Bölge'!$A:$B,2,FALSE)</f>
        <v>Karadeniz</v>
      </c>
      <c r="E96" s="2"/>
    </row>
    <row r="97" spans="1:5" x14ac:dyDescent="0.25">
      <c r="A97">
        <v>2000</v>
      </c>
      <c r="B97" t="s">
        <v>108</v>
      </c>
      <c r="C97">
        <v>256803</v>
      </c>
      <c r="D97" s="2" t="str">
        <f>VLOOKUP(B97,'İl-Bölge'!$A:$B,2,FALSE)</f>
        <v>Akdeniz</v>
      </c>
      <c r="E97" s="2"/>
    </row>
    <row r="98" spans="1:5" x14ac:dyDescent="0.25">
      <c r="A98">
        <v>2010</v>
      </c>
      <c r="B98" t="s">
        <v>108</v>
      </c>
      <c r="C98">
        <v>258868</v>
      </c>
      <c r="D98" s="2" t="str">
        <f>VLOOKUP(B98,'İl-Bölge'!$A:$B,2,FALSE)</f>
        <v>Akdeniz</v>
      </c>
      <c r="E98" s="2"/>
    </row>
    <row r="99" spans="1:5" x14ac:dyDescent="0.25">
      <c r="A99">
        <v>2020</v>
      </c>
      <c r="B99" t="s">
        <v>108</v>
      </c>
      <c r="C99">
        <v>267092</v>
      </c>
      <c r="D99" s="2" t="str">
        <f>VLOOKUP(B99,'İl-Bölge'!$A:$B,2,FALSE)</f>
        <v>Akdeniz</v>
      </c>
      <c r="E99" s="2"/>
    </row>
    <row r="100" spans="1:5" x14ac:dyDescent="0.25">
      <c r="A100">
        <v>2024</v>
      </c>
      <c r="B100" t="s">
        <v>108</v>
      </c>
      <c r="C100">
        <v>275826</v>
      </c>
      <c r="D100" s="2" t="str">
        <f>VLOOKUP(B100,'İl-Bölge'!$A:$B,2,FALSE)</f>
        <v>Akdeniz</v>
      </c>
      <c r="E100" s="2"/>
    </row>
    <row r="101" spans="1:5" x14ac:dyDescent="0.25">
      <c r="A101">
        <v>2025</v>
      </c>
      <c r="B101" t="s">
        <v>108</v>
      </c>
      <c r="C101">
        <v>277226</v>
      </c>
      <c r="D101" s="2" t="str">
        <f>VLOOKUP(B101,'İl-Bölge'!$A:$B,2,FALSE)</f>
        <v>Akdeniz</v>
      </c>
      <c r="E101" s="2"/>
    </row>
    <row r="102" spans="1:5" x14ac:dyDescent="0.25">
      <c r="A102">
        <v>2000</v>
      </c>
      <c r="B102" t="s">
        <v>109</v>
      </c>
      <c r="C102">
        <v>2125140</v>
      </c>
      <c r="D102" s="2" t="str">
        <f>VLOOKUP(B102,'İl-Bölge'!$A:$B,2,FALSE)</f>
        <v>Marmara</v>
      </c>
      <c r="E102" s="2"/>
    </row>
    <row r="103" spans="1:5" x14ac:dyDescent="0.25">
      <c r="A103">
        <v>2010</v>
      </c>
      <c r="B103" t="s">
        <v>109</v>
      </c>
      <c r="C103">
        <v>2605495</v>
      </c>
      <c r="D103" s="2" t="str">
        <f>VLOOKUP(B103,'İl-Bölge'!$A:$B,2,FALSE)</f>
        <v>Marmara</v>
      </c>
      <c r="E103" s="2"/>
    </row>
    <row r="104" spans="1:5" x14ac:dyDescent="0.25">
      <c r="A104">
        <v>2020</v>
      </c>
      <c r="B104" t="s">
        <v>109</v>
      </c>
      <c r="C104">
        <v>3101833</v>
      </c>
      <c r="D104" s="2" t="str">
        <f>VLOOKUP(B104,'İl-Bölge'!$A:$B,2,FALSE)</f>
        <v>Marmara</v>
      </c>
      <c r="E104" s="2"/>
    </row>
    <row r="105" spans="1:5" x14ac:dyDescent="0.25">
      <c r="A105">
        <v>2024</v>
      </c>
      <c r="B105" t="s">
        <v>109</v>
      </c>
      <c r="C105">
        <v>3238618</v>
      </c>
      <c r="D105" s="2" t="str">
        <f>VLOOKUP(B105,'İl-Bölge'!$A:$B,2,FALSE)</f>
        <v>Marmara</v>
      </c>
      <c r="E105" s="2"/>
    </row>
    <row r="106" spans="1:5" x14ac:dyDescent="0.25">
      <c r="A106">
        <v>2025</v>
      </c>
      <c r="B106" t="s">
        <v>109</v>
      </c>
      <c r="C106">
        <v>3263011</v>
      </c>
      <c r="D106" s="2" t="str">
        <f>VLOOKUP(B106,'İl-Bölge'!$A:$B,2,FALSE)</f>
        <v>Marmara</v>
      </c>
      <c r="E106" s="2"/>
    </row>
    <row r="107" spans="1:5" x14ac:dyDescent="0.25">
      <c r="A107">
        <v>2000</v>
      </c>
      <c r="B107" t="s">
        <v>110</v>
      </c>
      <c r="C107">
        <v>464975</v>
      </c>
      <c r="D107" s="2" t="str">
        <f>VLOOKUP(B107,'İl-Bölge'!$A:$B,2,FALSE)</f>
        <v>Marmara</v>
      </c>
      <c r="E107" s="2"/>
    </row>
    <row r="108" spans="1:5" x14ac:dyDescent="0.25">
      <c r="A108">
        <v>2010</v>
      </c>
      <c r="B108" t="s">
        <v>110</v>
      </c>
      <c r="C108">
        <v>490397</v>
      </c>
      <c r="D108" s="2" t="str">
        <f>VLOOKUP(B108,'İl-Bölge'!$A:$B,2,FALSE)</f>
        <v>Marmara</v>
      </c>
      <c r="E108" s="2"/>
    </row>
    <row r="109" spans="1:5" x14ac:dyDescent="0.25">
      <c r="A109">
        <v>2020</v>
      </c>
      <c r="B109" t="s">
        <v>110</v>
      </c>
      <c r="C109">
        <v>541548</v>
      </c>
      <c r="D109" s="2" t="str">
        <f>VLOOKUP(B109,'İl-Bölge'!$A:$B,2,FALSE)</f>
        <v>Marmara</v>
      </c>
      <c r="E109" s="2"/>
    </row>
    <row r="110" spans="1:5" x14ac:dyDescent="0.25">
      <c r="A110">
        <v>2024</v>
      </c>
      <c r="B110" t="s">
        <v>110</v>
      </c>
      <c r="C110">
        <v>568966</v>
      </c>
      <c r="D110" s="2" t="str">
        <f>VLOOKUP(B110,'İl-Bölge'!$A:$B,2,FALSE)</f>
        <v>Marmara</v>
      </c>
      <c r="E110" s="2"/>
    </row>
    <row r="111" spans="1:5" x14ac:dyDescent="0.25">
      <c r="A111">
        <v>2025</v>
      </c>
      <c r="B111" t="s">
        <v>110</v>
      </c>
      <c r="C111">
        <v>573976</v>
      </c>
      <c r="D111" s="2" t="str">
        <f>VLOOKUP(B111,'İl-Bölge'!$A:$B,2,FALSE)</f>
        <v>Marmara</v>
      </c>
      <c r="E111" s="2"/>
    </row>
    <row r="112" spans="1:5" x14ac:dyDescent="0.25">
      <c r="A112">
        <v>2000</v>
      </c>
      <c r="B112" t="s">
        <v>111</v>
      </c>
      <c r="C112">
        <v>270355</v>
      </c>
      <c r="D112" s="2" t="str">
        <f>VLOOKUP(B112,'İl-Bölge'!$A:$B,2,FALSE)</f>
        <v>İç Anadolu</v>
      </c>
      <c r="E112" s="2"/>
    </row>
    <row r="113" spans="1:5" x14ac:dyDescent="0.25">
      <c r="A113">
        <v>2010</v>
      </c>
      <c r="B113" t="s">
        <v>111</v>
      </c>
      <c r="C113">
        <v>179067</v>
      </c>
      <c r="D113" s="2" t="str">
        <f>VLOOKUP(B113,'İl-Bölge'!$A:$B,2,FALSE)</f>
        <v>İç Anadolu</v>
      </c>
      <c r="E113" s="2"/>
    </row>
    <row r="114" spans="1:5" x14ac:dyDescent="0.25">
      <c r="A114">
        <v>2020</v>
      </c>
      <c r="B114" t="s">
        <v>111</v>
      </c>
      <c r="C114">
        <v>192428</v>
      </c>
      <c r="D114" s="2" t="str">
        <f>VLOOKUP(B114,'İl-Bölge'!$A:$B,2,FALSE)</f>
        <v>İç Anadolu</v>
      </c>
      <c r="E114" s="2"/>
    </row>
    <row r="115" spans="1:5" x14ac:dyDescent="0.25">
      <c r="A115">
        <v>2024</v>
      </c>
      <c r="B115" t="s">
        <v>111</v>
      </c>
      <c r="C115">
        <v>199981</v>
      </c>
      <c r="D115" s="2" t="str">
        <f>VLOOKUP(B115,'İl-Bölge'!$A:$B,2,FALSE)</f>
        <v>İç Anadolu</v>
      </c>
      <c r="E115" s="2"/>
    </row>
    <row r="116" spans="1:5" x14ac:dyDescent="0.25">
      <c r="A116">
        <v>2025</v>
      </c>
      <c r="B116" t="s">
        <v>111</v>
      </c>
      <c r="C116">
        <v>200549</v>
      </c>
      <c r="D116" s="2" t="str">
        <f>VLOOKUP(B116,'İl-Bölge'!$A:$B,2,FALSE)</f>
        <v>İç Anadolu</v>
      </c>
      <c r="E116" s="2"/>
    </row>
    <row r="117" spans="1:5" x14ac:dyDescent="0.25">
      <c r="A117">
        <v>2000</v>
      </c>
      <c r="B117" t="s">
        <v>112</v>
      </c>
      <c r="C117">
        <v>597065</v>
      </c>
      <c r="D117" s="2" t="str">
        <f>VLOOKUP(B117,'İl-Bölge'!$A:$B,2,FALSE)</f>
        <v>Karadeniz</v>
      </c>
      <c r="E117" s="2"/>
    </row>
    <row r="118" spans="1:5" x14ac:dyDescent="0.25">
      <c r="A118">
        <v>2010</v>
      </c>
      <c r="B118" t="s">
        <v>112</v>
      </c>
      <c r="C118">
        <v>535405</v>
      </c>
      <c r="D118" s="2" t="str">
        <f>VLOOKUP(B118,'İl-Bölge'!$A:$B,2,FALSE)</f>
        <v>Karadeniz</v>
      </c>
      <c r="E118" s="2"/>
    </row>
    <row r="119" spans="1:5" x14ac:dyDescent="0.25">
      <c r="A119">
        <v>2020</v>
      </c>
      <c r="B119" t="s">
        <v>112</v>
      </c>
      <c r="C119">
        <v>530126</v>
      </c>
      <c r="D119" s="2" t="str">
        <f>VLOOKUP(B119,'İl-Bölge'!$A:$B,2,FALSE)</f>
        <v>Karadeniz</v>
      </c>
      <c r="E119" s="2"/>
    </row>
    <row r="120" spans="1:5" x14ac:dyDescent="0.25">
      <c r="A120">
        <v>2024</v>
      </c>
      <c r="B120" t="s">
        <v>112</v>
      </c>
      <c r="C120">
        <v>521335</v>
      </c>
      <c r="D120" s="2" t="str">
        <f>VLOOKUP(B120,'İl-Bölge'!$A:$B,2,FALSE)</f>
        <v>Karadeniz</v>
      </c>
      <c r="E120" s="2"/>
    </row>
    <row r="121" spans="1:5" x14ac:dyDescent="0.25">
      <c r="A121">
        <v>2025</v>
      </c>
      <c r="B121" t="s">
        <v>112</v>
      </c>
      <c r="C121">
        <v>519590</v>
      </c>
      <c r="D121" s="2" t="str">
        <f>VLOOKUP(B121,'İl-Bölge'!$A:$B,2,FALSE)</f>
        <v>Karadeniz</v>
      </c>
      <c r="E121" s="2"/>
    </row>
    <row r="122" spans="1:5" x14ac:dyDescent="0.25">
      <c r="A122">
        <v>2000</v>
      </c>
      <c r="B122" t="s">
        <v>113</v>
      </c>
      <c r="C122">
        <v>850029</v>
      </c>
      <c r="D122" s="2" t="str">
        <f>VLOOKUP(B122,'İl-Bölge'!$A:$B,2,FALSE)</f>
        <v>Ege</v>
      </c>
      <c r="E122" s="2"/>
    </row>
    <row r="123" spans="1:5" x14ac:dyDescent="0.25">
      <c r="A123">
        <v>2010</v>
      </c>
      <c r="B123" t="s">
        <v>113</v>
      </c>
      <c r="C123">
        <v>931823</v>
      </c>
      <c r="D123" s="2" t="str">
        <f>VLOOKUP(B123,'İl-Bölge'!$A:$B,2,FALSE)</f>
        <v>Ege</v>
      </c>
      <c r="E123" s="2"/>
    </row>
    <row r="124" spans="1:5" x14ac:dyDescent="0.25">
      <c r="A124">
        <v>2020</v>
      </c>
      <c r="B124" t="s">
        <v>113</v>
      </c>
      <c r="C124">
        <v>1040915</v>
      </c>
      <c r="D124" s="2" t="str">
        <f>VLOOKUP(B124,'İl-Bölge'!$A:$B,2,FALSE)</f>
        <v>Ege</v>
      </c>
      <c r="E124" s="2"/>
    </row>
    <row r="125" spans="1:5" x14ac:dyDescent="0.25">
      <c r="A125">
        <v>2024</v>
      </c>
      <c r="B125" t="s">
        <v>113</v>
      </c>
      <c r="C125">
        <v>1061371</v>
      </c>
      <c r="D125" s="2" t="str">
        <f>VLOOKUP(B125,'İl-Bölge'!$A:$B,2,FALSE)</f>
        <v>Ege</v>
      </c>
      <c r="E125" s="2"/>
    </row>
    <row r="126" spans="1:5" x14ac:dyDescent="0.25">
      <c r="A126">
        <v>2025</v>
      </c>
      <c r="B126" t="s">
        <v>113</v>
      </c>
      <c r="C126">
        <v>1060975</v>
      </c>
      <c r="D126" s="2" t="str">
        <f>VLOOKUP(B126,'İl-Bölge'!$A:$B,2,FALSE)</f>
        <v>Ege</v>
      </c>
      <c r="E126" s="2"/>
    </row>
    <row r="127" spans="1:5" ht="30" x14ac:dyDescent="0.25">
      <c r="A127">
        <v>2000</v>
      </c>
      <c r="B127" t="s">
        <v>114</v>
      </c>
      <c r="C127">
        <v>1362708</v>
      </c>
      <c r="D127" s="2" t="str">
        <f>VLOOKUP(B127,'İl-Bölge'!$A:$B,2,FALSE)</f>
        <v>Güneydoğu Anadolu</v>
      </c>
      <c r="E127" s="2"/>
    </row>
    <row r="128" spans="1:5" ht="30" x14ac:dyDescent="0.25">
      <c r="A128">
        <v>2010</v>
      </c>
      <c r="B128" t="s">
        <v>114</v>
      </c>
      <c r="C128">
        <v>1528958</v>
      </c>
      <c r="D128" s="2" t="str">
        <f>VLOOKUP(B128,'İl-Bölge'!$A:$B,2,FALSE)</f>
        <v>Güneydoğu Anadolu</v>
      </c>
      <c r="E128" s="2"/>
    </row>
    <row r="129" spans="1:5" ht="30" x14ac:dyDescent="0.25">
      <c r="A129">
        <v>2020</v>
      </c>
      <c r="B129" t="s">
        <v>114</v>
      </c>
      <c r="C129">
        <v>1783431</v>
      </c>
      <c r="D129" s="2" t="str">
        <f>VLOOKUP(B129,'İl-Bölge'!$A:$B,2,FALSE)</f>
        <v>Güneydoğu Anadolu</v>
      </c>
      <c r="E129" s="2"/>
    </row>
    <row r="130" spans="1:5" ht="30" x14ac:dyDescent="0.25">
      <c r="A130">
        <v>2024</v>
      </c>
      <c r="B130" t="s">
        <v>114</v>
      </c>
      <c r="C130">
        <v>1833684</v>
      </c>
      <c r="D130" s="2" t="str">
        <f>VLOOKUP(B130,'İl-Bölge'!$A:$B,2,FALSE)</f>
        <v>Güneydoğu Anadolu</v>
      </c>
      <c r="E130" s="2"/>
    </row>
    <row r="131" spans="1:5" ht="30" x14ac:dyDescent="0.25">
      <c r="A131">
        <v>2025</v>
      </c>
      <c r="B131" t="s">
        <v>114</v>
      </c>
      <c r="C131">
        <v>1852356</v>
      </c>
      <c r="D131" s="2" t="str">
        <f>VLOOKUP(B131,'İl-Bölge'!$A:$B,2,FALSE)</f>
        <v>Güneydoğu Anadolu</v>
      </c>
      <c r="E131" s="2"/>
    </row>
    <row r="132" spans="1:5" x14ac:dyDescent="0.25">
      <c r="A132">
        <v>2000</v>
      </c>
      <c r="B132" t="s">
        <v>174</v>
      </c>
      <c r="C132">
        <v>314266</v>
      </c>
      <c r="D132" s="2" t="str">
        <f>VLOOKUP(B132,'İl-Bölge'!$A:$B,2,FALSE)</f>
        <v>Karadeniz</v>
      </c>
      <c r="E132" s="2"/>
    </row>
    <row r="133" spans="1:5" x14ac:dyDescent="0.25">
      <c r="A133">
        <v>2010</v>
      </c>
      <c r="B133" t="s">
        <v>174</v>
      </c>
      <c r="C133">
        <v>338188</v>
      </c>
      <c r="D133" s="2" t="str">
        <f>VLOOKUP(B133,'İl-Bölge'!$A:$B,2,FALSE)</f>
        <v>Karadeniz</v>
      </c>
      <c r="E133" s="2"/>
    </row>
    <row r="134" spans="1:5" x14ac:dyDescent="0.25">
      <c r="A134">
        <v>2020</v>
      </c>
      <c r="B134" t="s">
        <v>174</v>
      </c>
      <c r="C134">
        <v>395679</v>
      </c>
      <c r="D134" s="2" t="str">
        <f>VLOOKUP(B134,'İl-Bölge'!$A:$B,2,FALSE)</f>
        <v>Karadeniz</v>
      </c>
      <c r="E134" s="2"/>
    </row>
    <row r="135" spans="1:5" x14ac:dyDescent="0.25">
      <c r="A135">
        <v>2024</v>
      </c>
      <c r="B135" t="s">
        <v>174</v>
      </c>
      <c r="C135">
        <v>412344</v>
      </c>
      <c r="D135" s="2" t="str">
        <f>VLOOKUP(B135,'İl-Bölge'!$A:$B,2,FALSE)</f>
        <v>Karadeniz</v>
      </c>
      <c r="E135" s="2"/>
    </row>
    <row r="136" spans="1:5" x14ac:dyDescent="0.25">
      <c r="A136">
        <v>2025</v>
      </c>
      <c r="B136" t="s">
        <v>174</v>
      </c>
      <c r="C136">
        <v>415622</v>
      </c>
      <c r="D136" s="2" t="str">
        <f>VLOOKUP(B136,'İl-Bölge'!$A:$B,2,FALSE)</f>
        <v>Karadeniz</v>
      </c>
      <c r="E136" s="2"/>
    </row>
    <row r="137" spans="1:5" x14ac:dyDescent="0.25">
      <c r="A137">
        <v>2000</v>
      </c>
      <c r="B137" t="s">
        <v>115</v>
      </c>
      <c r="C137">
        <v>402606</v>
      </c>
      <c r="D137" s="2" t="str">
        <f>VLOOKUP(B137,'İl-Bölge'!$A:$B,2,FALSE)</f>
        <v>Marmara</v>
      </c>
      <c r="E137" s="2"/>
    </row>
    <row r="138" spans="1:5" x14ac:dyDescent="0.25">
      <c r="A138">
        <v>2010</v>
      </c>
      <c r="B138" t="s">
        <v>115</v>
      </c>
      <c r="C138">
        <v>390428</v>
      </c>
      <c r="D138" s="2" t="str">
        <f>VLOOKUP(B138,'İl-Bölge'!$A:$B,2,FALSE)</f>
        <v>Marmara</v>
      </c>
      <c r="E138" s="2"/>
    </row>
    <row r="139" spans="1:5" x14ac:dyDescent="0.25">
      <c r="A139">
        <v>2020</v>
      </c>
      <c r="B139" t="s">
        <v>115</v>
      </c>
      <c r="C139">
        <v>407763</v>
      </c>
      <c r="D139" s="2" t="str">
        <f>VLOOKUP(B139,'İl-Bölge'!$A:$B,2,FALSE)</f>
        <v>Marmara</v>
      </c>
      <c r="E139" s="2"/>
    </row>
    <row r="140" spans="1:5" x14ac:dyDescent="0.25">
      <c r="A140">
        <v>2024</v>
      </c>
      <c r="B140" t="s">
        <v>115</v>
      </c>
      <c r="C140">
        <v>421247</v>
      </c>
      <c r="D140" s="2" t="str">
        <f>VLOOKUP(B140,'İl-Bölge'!$A:$B,2,FALSE)</f>
        <v>Marmara</v>
      </c>
      <c r="E140" s="2"/>
    </row>
    <row r="141" spans="1:5" x14ac:dyDescent="0.25">
      <c r="A141">
        <v>2025</v>
      </c>
      <c r="B141" t="s">
        <v>115</v>
      </c>
      <c r="C141">
        <v>422438</v>
      </c>
      <c r="D141" s="2" t="str">
        <f>VLOOKUP(B141,'İl-Bölge'!$A:$B,2,FALSE)</f>
        <v>Marmara</v>
      </c>
      <c r="E141" s="2"/>
    </row>
    <row r="142" spans="1:5" x14ac:dyDescent="0.25">
      <c r="A142">
        <v>2000</v>
      </c>
      <c r="B142" t="s">
        <v>116</v>
      </c>
      <c r="C142">
        <v>569616</v>
      </c>
      <c r="D142" s="2" t="str">
        <f>VLOOKUP(B142,'İl-Bölge'!$A:$B,2,FALSE)</f>
        <v>Doğu Anadolu</v>
      </c>
      <c r="E142" s="2"/>
    </row>
    <row r="143" spans="1:5" x14ac:dyDescent="0.25">
      <c r="A143">
        <v>2010</v>
      </c>
      <c r="B143" t="s">
        <v>116</v>
      </c>
      <c r="C143">
        <v>552646</v>
      </c>
      <c r="D143" s="2" t="str">
        <f>VLOOKUP(B143,'İl-Bölge'!$A:$B,2,FALSE)</f>
        <v>Doğu Anadolu</v>
      </c>
      <c r="E143" s="2"/>
    </row>
    <row r="144" spans="1:5" x14ac:dyDescent="0.25">
      <c r="A144">
        <v>2020</v>
      </c>
      <c r="B144" t="s">
        <v>116</v>
      </c>
      <c r="C144">
        <v>587960</v>
      </c>
      <c r="D144" s="2" t="str">
        <f>VLOOKUP(B144,'İl-Bölge'!$A:$B,2,FALSE)</f>
        <v>Doğu Anadolu</v>
      </c>
      <c r="E144" s="2"/>
    </row>
    <row r="145" spans="1:5" x14ac:dyDescent="0.25">
      <c r="A145">
        <v>2024</v>
      </c>
      <c r="B145" t="s">
        <v>116</v>
      </c>
      <c r="C145">
        <v>603941</v>
      </c>
      <c r="D145" s="2" t="str">
        <f>VLOOKUP(B145,'İl-Bölge'!$A:$B,2,FALSE)</f>
        <v>Doğu Anadolu</v>
      </c>
      <c r="E145" s="2"/>
    </row>
    <row r="146" spans="1:5" x14ac:dyDescent="0.25">
      <c r="A146">
        <v>2025</v>
      </c>
      <c r="B146" t="s">
        <v>116</v>
      </c>
      <c r="C146">
        <v>605678</v>
      </c>
      <c r="D146" s="2" t="str">
        <f>VLOOKUP(B146,'İl-Bölge'!$A:$B,2,FALSE)</f>
        <v>Doğu Anadolu</v>
      </c>
      <c r="E146" s="2"/>
    </row>
    <row r="147" spans="1:5" x14ac:dyDescent="0.25">
      <c r="A147">
        <v>2000</v>
      </c>
      <c r="B147" t="s">
        <v>117</v>
      </c>
      <c r="C147">
        <v>316841</v>
      </c>
      <c r="D147" s="2" t="str">
        <f>VLOOKUP(B147,'İl-Bölge'!$A:$B,2,FALSE)</f>
        <v>Doğu Anadolu</v>
      </c>
      <c r="E147" s="2"/>
    </row>
    <row r="148" spans="1:5" x14ac:dyDescent="0.25">
      <c r="A148">
        <v>2010</v>
      </c>
      <c r="B148" t="s">
        <v>117</v>
      </c>
      <c r="C148">
        <v>224949</v>
      </c>
      <c r="D148" s="2" t="str">
        <f>VLOOKUP(B148,'İl-Bölge'!$A:$B,2,FALSE)</f>
        <v>Doğu Anadolu</v>
      </c>
      <c r="E148" s="2"/>
    </row>
    <row r="149" spans="1:5" x14ac:dyDescent="0.25">
      <c r="A149">
        <v>2020</v>
      </c>
      <c r="B149" t="s">
        <v>117</v>
      </c>
      <c r="C149">
        <v>234431</v>
      </c>
      <c r="D149" s="2" t="str">
        <f>VLOOKUP(B149,'İl-Bölge'!$A:$B,2,FALSE)</f>
        <v>Doğu Anadolu</v>
      </c>
      <c r="E149" s="2"/>
    </row>
    <row r="150" spans="1:5" x14ac:dyDescent="0.25">
      <c r="A150">
        <v>2024</v>
      </c>
      <c r="B150" t="s">
        <v>117</v>
      </c>
      <c r="C150">
        <v>241239</v>
      </c>
      <c r="D150" s="2" t="str">
        <f>VLOOKUP(B150,'İl-Bölge'!$A:$B,2,FALSE)</f>
        <v>Doğu Anadolu</v>
      </c>
      <c r="E150" s="2"/>
    </row>
    <row r="151" spans="1:5" x14ac:dyDescent="0.25">
      <c r="A151">
        <v>2025</v>
      </c>
      <c r="B151" t="s">
        <v>117</v>
      </c>
      <c r="C151">
        <v>239625</v>
      </c>
      <c r="D151" s="2" t="str">
        <f>VLOOKUP(B151,'İl-Bölge'!$A:$B,2,FALSE)</f>
        <v>Doğu Anadolu</v>
      </c>
      <c r="E151" s="2"/>
    </row>
    <row r="152" spans="1:5" x14ac:dyDescent="0.25">
      <c r="A152">
        <v>2000</v>
      </c>
      <c r="B152" t="s">
        <v>118</v>
      </c>
      <c r="C152">
        <v>937389</v>
      </c>
      <c r="D152" s="2" t="str">
        <f>VLOOKUP(B152,'İl-Bölge'!$A:$B,2,FALSE)</f>
        <v>Doğu Anadolu</v>
      </c>
      <c r="E152" s="2"/>
    </row>
    <row r="153" spans="1:5" x14ac:dyDescent="0.25">
      <c r="A153">
        <v>2010</v>
      </c>
      <c r="B153" t="s">
        <v>118</v>
      </c>
      <c r="C153">
        <v>769085</v>
      </c>
      <c r="D153" s="2" t="str">
        <f>VLOOKUP(B153,'İl-Bölge'!$A:$B,2,FALSE)</f>
        <v>Doğu Anadolu</v>
      </c>
      <c r="E153" s="2"/>
    </row>
    <row r="154" spans="1:5" x14ac:dyDescent="0.25">
      <c r="A154">
        <v>2020</v>
      </c>
      <c r="B154" t="s">
        <v>118</v>
      </c>
      <c r="C154">
        <v>758279</v>
      </c>
      <c r="D154" s="2" t="str">
        <f>VLOOKUP(B154,'İl-Bölge'!$A:$B,2,FALSE)</f>
        <v>Doğu Anadolu</v>
      </c>
      <c r="E154" s="2"/>
    </row>
    <row r="155" spans="1:5" x14ac:dyDescent="0.25">
      <c r="A155">
        <v>2024</v>
      </c>
      <c r="B155" t="s">
        <v>118</v>
      </c>
      <c r="C155">
        <v>745005</v>
      </c>
      <c r="D155" s="2" t="str">
        <f>VLOOKUP(B155,'İl-Bölge'!$A:$B,2,FALSE)</f>
        <v>Doğu Anadolu</v>
      </c>
      <c r="E155" s="2"/>
    </row>
    <row r="156" spans="1:5" x14ac:dyDescent="0.25">
      <c r="A156">
        <v>2025</v>
      </c>
      <c r="B156" t="s">
        <v>118</v>
      </c>
      <c r="C156">
        <v>736877</v>
      </c>
      <c r="D156" s="2" t="str">
        <f>VLOOKUP(B156,'İl-Bölge'!$A:$B,2,FALSE)</f>
        <v>Doğu Anadolu</v>
      </c>
      <c r="E156" s="2"/>
    </row>
    <row r="157" spans="1:5" x14ac:dyDescent="0.25">
      <c r="A157">
        <v>2000</v>
      </c>
      <c r="B157" t="s">
        <v>119</v>
      </c>
      <c r="C157">
        <v>706009</v>
      </c>
      <c r="D157" s="2" t="str">
        <f>VLOOKUP(B157,'İl-Bölge'!$A:$B,2,FALSE)</f>
        <v>İç Anadolu</v>
      </c>
      <c r="E157" s="2"/>
    </row>
    <row r="158" spans="1:5" x14ac:dyDescent="0.25">
      <c r="A158">
        <v>2010</v>
      </c>
      <c r="B158" t="s">
        <v>119</v>
      </c>
      <c r="C158">
        <v>764584</v>
      </c>
      <c r="D158" s="2" t="str">
        <f>VLOOKUP(B158,'İl-Bölge'!$A:$B,2,FALSE)</f>
        <v>İç Anadolu</v>
      </c>
      <c r="E158" s="2"/>
    </row>
    <row r="159" spans="1:5" x14ac:dyDescent="0.25">
      <c r="A159">
        <v>2020</v>
      </c>
      <c r="B159" t="s">
        <v>119</v>
      </c>
      <c r="C159">
        <v>888828</v>
      </c>
      <c r="D159" s="2" t="str">
        <f>VLOOKUP(B159,'İl-Bölge'!$A:$B,2,FALSE)</f>
        <v>İç Anadolu</v>
      </c>
      <c r="E159" s="2"/>
    </row>
    <row r="160" spans="1:5" x14ac:dyDescent="0.25">
      <c r="A160">
        <v>2024</v>
      </c>
      <c r="B160" t="s">
        <v>119</v>
      </c>
      <c r="C160">
        <v>921630</v>
      </c>
      <c r="D160" s="2" t="str">
        <f>VLOOKUP(B160,'İl-Bölge'!$A:$B,2,FALSE)</f>
        <v>İç Anadolu</v>
      </c>
      <c r="E160" s="2"/>
    </row>
    <row r="161" spans="1:5" x14ac:dyDescent="0.25">
      <c r="A161">
        <v>2025</v>
      </c>
      <c r="B161" t="s">
        <v>119</v>
      </c>
      <c r="C161">
        <v>927956</v>
      </c>
      <c r="D161" s="2" t="str">
        <f>VLOOKUP(B161,'İl-Bölge'!$A:$B,2,FALSE)</f>
        <v>İç Anadolu</v>
      </c>
      <c r="E161" s="2"/>
    </row>
    <row r="162" spans="1:5" ht="30" x14ac:dyDescent="0.25">
      <c r="A162">
        <v>2000</v>
      </c>
      <c r="B162" t="s">
        <v>120</v>
      </c>
      <c r="C162">
        <v>1285249</v>
      </c>
      <c r="D162" s="2" t="str">
        <f>VLOOKUP(B162,'İl-Bölge'!$A:$B,2,FALSE)</f>
        <v>Güneydoğu Anadolu</v>
      </c>
      <c r="E162" s="2"/>
    </row>
    <row r="163" spans="1:5" ht="30" x14ac:dyDescent="0.25">
      <c r="A163">
        <v>2010</v>
      </c>
      <c r="B163" t="s">
        <v>120</v>
      </c>
      <c r="C163">
        <v>1700763</v>
      </c>
      <c r="D163" s="2" t="str">
        <f>VLOOKUP(B163,'İl-Bölge'!$A:$B,2,FALSE)</f>
        <v>Güneydoğu Anadolu</v>
      </c>
      <c r="E163" s="2"/>
    </row>
    <row r="164" spans="1:5" ht="30" x14ac:dyDescent="0.25">
      <c r="A164">
        <v>2020</v>
      </c>
      <c r="B164" t="s">
        <v>120</v>
      </c>
      <c r="C164">
        <v>2101157</v>
      </c>
      <c r="D164" s="2" t="str">
        <f>VLOOKUP(B164,'İl-Bölge'!$A:$B,2,FALSE)</f>
        <v>Güneydoğu Anadolu</v>
      </c>
      <c r="E164" s="2"/>
    </row>
    <row r="165" spans="1:5" ht="30" x14ac:dyDescent="0.25">
      <c r="A165">
        <v>2024</v>
      </c>
      <c r="B165" t="s">
        <v>120</v>
      </c>
      <c r="C165">
        <v>2193363</v>
      </c>
      <c r="D165" s="2" t="str">
        <f>VLOOKUP(B165,'İl-Bölge'!$A:$B,2,FALSE)</f>
        <v>Güneydoğu Anadolu</v>
      </c>
      <c r="E165" s="2"/>
    </row>
    <row r="166" spans="1:5" ht="30" x14ac:dyDescent="0.25">
      <c r="A166">
        <v>2025</v>
      </c>
      <c r="B166" t="s">
        <v>120</v>
      </c>
      <c r="C166">
        <v>2222415</v>
      </c>
      <c r="D166" s="2" t="str">
        <f>VLOOKUP(B166,'İl-Bölge'!$A:$B,2,FALSE)</f>
        <v>Güneydoğu Anadolu</v>
      </c>
      <c r="E166" s="2"/>
    </row>
    <row r="167" spans="1:5" x14ac:dyDescent="0.25">
      <c r="A167">
        <v>2000</v>
      </c>
      <c r="B167" t="s">
        <v>121</v>
      </c>
      <c r="C167">
        <v>523819</v>
      </c>
      <c r="D167" s="2" t="str">
        <f>VLOOKUP(B167,'İl-Bölge'!$A:$B,2,FALSE)</f>
        <v>Karadeniz</v>
      </c>
      <c r="E167" s="2"/>
    </row>
    <row r="168" spans="1:5" x14ac:dyDescent="0.25">
      <c r="A168">
        <v>2010</v>
      </c>
      <c r="B168" t="s">
        <v>121</v>
      </c>
      <c r="C168">
        <v>419256</v>
      </c>
      <c r="D168" s="2" t="str">
        <f>VLOOKUP(B168,'İl-Bölge'!$A:$B,2,FALSE)</f>
        <v>Karadeniz</v>
      </c>
      <c r="E168" s="2"/>
    </row>
    <row r="169" spans="1:5" x14ac:dyDescent="0.25">
      <c r="A169">
        <v>2020</v>
      </c>
      <c r="B169" t="s">
        <v>121</v>
      </c>
      <c r="C169">
        <v>448721</v>
      </c>
      <c r="D169" s="2" t="str">
        <f>VLOOKUP(B169,'İl-Bölge'!$A:$B,2,FALSE)</f>
        <v>Karadeniz</v>
      </c>
      <c r="E169" s="2"/>
    </row>
    <row r="170" spans="1:5" x14ac:dyDescent="0.25">
      <c r="A170">
        <v>2024</v>
      </c>
      <c r="B170" t="s">
        <v>121</v>
      </c>
      <c r="C170">
        <v>455922</v>
      </c>
      <c r="D170" s="2" t="str">
        <f>VLOOKUP(B170,'İl-Bölge'!$A:$B,2,FALSE)</f>
        <v>Karadeniz</v>
      </c>
      <c r="E170" s="2"/>
    </row>
    <row r="171" spans="1:5" x14ac:dyDescent="0.25">
      <c r="A171">
        <v>2025</v>
      </c>
      <c r="B171" t="s">
        <v>121</v>
      </c>
      <c r="C171">
        <v>455074</v>
      </c>
      <c r="D171" s="2" t="str">
        <f>VLOOKUP(B171,'İl-Bölge'!$A:$B,2,FALSE)</f>
        <v>Karadeniz</v>
      </c>
      <c r="E171" s="2"/>
    </row>
    <row r="172" spans="1:5" x14ac:dyDescent="0.25">
      <c r="A172">
        <v>2000</v>
      </c>
      <c r="B172" t="s">
        <v>122</v>
      </c>
      <c r="C172">
        <v>186953</v>
      </c>
      <c r="D172" s="2" t="str">
        <f>VLOOKUP(B172,'İl-Bölge'!$A:$B,2,FALSE)</f>
        <v>Karadeniz</v>
      </c>
      <c r="E172" s="2"/>
    </row>
    <row r="173" spans="1:5" x14ac:dyDescent="0.25">
      <c r="A173">
        <v>2010</v>
      </c>
      <c r="B173" t="s">
        <v>122</v>
      </c>
      <c r="C173">
        <v>129618</v>
      </c>
      <c r="D173" s="2" t="str">
        <f>VLOOKUP(B173,'İl-Bölge'!$A:$B,2,FALSE)</f>
        <v>Karadeniz</v>
      </c>
      <c r="E173" s="2"/>
    </row>
    <row r="174" spans="1:5" x14ac:dyDescent="0.25">
      <c r="A174">
        <v>2020</v>
      </c>
      <c r="B174" t="s">
        <v>122</v>
      </c>
      <c r="C174">
        <v>141702</v>
      </c>
      <c r="D174" s="2" t="str">
        <f>VLOOKUP(B174,'İl-Bölge'!$A:$B,2,FALSE)</f>
        <v>Karadeniz</v>
      </c>
      <c r="E174" s="2"/>
    </row>
    <row r="175" spans="1:5" x14ac:dyDescent="0.25">
      <c r="A175">
        <v>2024</v>
      </c>
      <c r="B175" t="s">
        <v>122</v>
      </c>
      <c r="C175">
        <v>142617</v>
      </c>
      <c r="D175" s="2" t="str">
        <f>VLOOKUP(B175,'İl-Bölge'!$A:$B,2,FALSE)</f>
        <v>Karadeniz</v>
      </c>
      <c r="E175" s="2"/>
    </row>
    <row r="176" spans="1:5" x14ac:dyDescent="0.25">
      <c r="A176">
        <v>2025</v>
      </c>
      <c r="B176" t="s">
        <v>122</v>
      </c>
      <c r="C176">
        <v>138807</v>
      </c>
      <c r="D176" s="2" t="str">
        <f>VLOOKUP(B176,'İl-Bölge'!$A:$B,2,FALSE)</f>
        <v>Karadeniz</v>
      </c>
      <c r="E176" s="2"/>
    </row>
    <row r="177" spans="1:5" x14ac:dyDescent="0.25">
      <c r="A177">
        <v>2000</v>
      </c>
      <c r="B177" t="s">
        <v>123</v>
      </c>
      <c r="C177">
        <v>236581</v>
      </c>
      <c r="D177" s="2" t="str">
        <f>VLOOKUP(B177,'İl-Bölge'!$A:$B,2,FALSE)</f>
        <v>Doğu Anadolu</v>
      </c>
      <c r="E177" s="2"/>
    </row>
    <row r="178" spans="1:5" x14ac:dyDescent="0.25">
      <c r="A178">
        <v>2010</v>
      </c>
      <c r="B178" t="s">
        <v>123</v>
      </c>
      <c r="C178">
        <v>251302</v>
      </c>
      <c r="D178" s="2" t="str">
        <f>VLOOKUP(B178,'İl-Bölge'!$A:$B,2,FALSE)</f>
        <v>Doğu Anadolu</v>
      </c>
      <c r="E178" s="2"/>
    </row>
    <row r="179" spans="1:5" x14ac:dyDescent="0.25">
      <c r="A179">
        <v>2020</v>
      </c>
      <c r="B179" t="s">
        <v>123</v>
      </c>
      <c r="C179">
        <v>280514</v>
      </c>
      <c r="D179" s="2" t="str">
        <f>VLOOKUP(B179,'İl-Bölge'!$A:$B,2,FALSE)</f>
        <v>Doğu Anadolu</v>
      </c>
      <c r="E179" s="2"/>
    </row>
    <row r="180" spans="1:5" x14ac:dyDescent="0.25">
      <c r="A180">
        <v>2024</v>
      </c>
      <c r="B180" t="s">
        <v>123</v>
      </c>
      <c r="C180">
        <v>282191</v>
      </c>
      <c r="D180" s="2" t="str">
        <f>VLOOKUP(B180,'İl-Bölge'!$A:$B,2,FALSE)</f>
        <v>Doğu Anadolu</v>
      </c>
      <c r="E180" s="2"/>
    </row>
    <row r="181" spans="1:5" x14ac:dyDescent="0.25">
      <c r="A181">
        <v>2025</v>
      </c>
      <c r="B181" t="s">
        <v>123</v>
      </c>
      <c r="C181">
        <v>279681</v>
      </c>
      <c r="D181" s="2" t="str">
        <f>VLOOKUP(B181,'İl-Bölge'!$A:$B,2,FALSE)</f>
        <v>Doğu Anadolu</v>
      </c>
      <c r="E181" s="2"/>
    </row>
    <row r="182" spans="1:5" x14ac:dyDescent="0.25">
      <c r="A182">
        <v>2000</v>
      </c>
      <c r="B182" t="s">
        <v>124</v>
      </c>
      <c r="C182">
        <v>1253726</v>
      </c>
      <c r="D182" s="2" t="str">
        <f>VLOOKUP(B182,'İl-Bölge'!$A:$B,2,FALSE)</f>
        <v>Akdeniz</v>
      </c>
      <c r="E182" s="2"/>
    </row>
    <row r="183" spans="1:5" x14ac:dyDescent="0.25">
      <c r="A183">
        <v>2010</v>
      </c>
      <c r="B183" t="s">
        <v>124</v>
      </c>
      <c r="C183">
        <v>1480571</v>
      </c>
      <c r="D183" s="2" t="str">
        <f>VLOOKUP(B183,'İl-Bölge'!$A:$B,2,FALSE)</f>
        <v>Akdeniz</v>
      </c>
      <c r="E183" s="2"/>
    </row>
    <row r="184" spans="1:5" x14ac:dyDescent="0.25">
      <c r="A184">
        <v>2020</v>
      </c>
      <c r="B184" t="s">
        <v>124</v>
      </c>
      <c r="C184">
        <v>1659320</v>
      </c>
      <c r="D184" s="2" t="str">
        <f>VLOOKUP(B184,'İl-Bölge'!$A:$B,2,FALSE)</f>
        <v>Akdeniz</v>
      </c>
      <c r="E184" s="2"/>
    </row>
    <row r="185" spans="1:5" x14ac:dyDescent="0.25">
      <c r="A185">
        <v>2024</v>
      </c>
      <c r="B185" t="s">
        <v>124</v>
      </c>
      <c r="C185">
        <v>1562185</v>
      </c>
      <c r="D185" s="2" t="str">
        <f>VLOOKUP(B185,'İl-Bölge'!$A:$B,2,FALSE)</f>
        <v>Akdeniz</v>
      </c>
      <c r="E185" s="2"/>
    </row>
    <row r="186" spans="1:5" x14ac:dyDescent="0.25">
      <c r="A186">
        <v>2025</v>
      </c>
      <c r="B186" t="s">
        <v>124</v>
      </c>
      <c r="C186">
        <v>1577531</v>
      </c>
      <c r="D186" s="2" t="str">
        <f>VLOOKUP(B186,'İl-Bölge'!$A:$B,2,FALSE)</f>
        <v>Akdeniz</v>
      </c>
      <c r="E186" s="2"/>
    </row>
    <row r="187" spans="1:5" x14ac:dyDescent="0.25">
      <c r="A187">
        <v>2000</v>
      </c>
      <c r="B187" t="s">
        <v>169</v>
      </c>
      <c r="C187">
        <v>168634</v>
      </c>
      <c r="D187" s="2" t="str">
        <f>VLOOKUP(B187,'İl-Bölge'!$A:$B,2,FALSE)</f>
        <v>Doğu Anadolu</v>
      </c>
      <c r="E187" s="2"/>
    </row>
    <row r="188" spans="1:5" x14ac:dyDescent="0.25">
      <c r="A188">
        <v>2010</v>
      </c>
      <c r="B188" t="s">
        <v>169</v>
      </c>
      <c r="C188">
        <v>184418</v>
      </c>
      <c r="D188" s="2" t="str">
        <f>VLOOKUP(B188,'İl-Bölge'!$A:$B,2,FALSE)</f>
        <v>Doğu Anadolu</v>
      </c>
      <c r="E188" s="2"/>
    </row>
    <row r="189" spans="1:5" x14ac:dyDescent="0.25">
      <c r="A189">
        <v>2020</v>
      </c>
      <c r="B189" t="s">
        <v>169</v>
      </c>
      <c r="C189">
        <v>201314</v>
      </c>
      <c r="D189" s="2" t="str">
        <f>VLOOKUP(B189,'İl-Bölge'!$A:$B,2,FALSE)</f>
        <v>Doğu Anadolu</v>
      </c>
      <c r="E189" s="2"/>
    </row>
    <row r="190" spans="1:5" x14ac:dyDescent="0.25">
      <c r="A190">
        <v>2024</v>
      </c>
      <c r="B190" t="s">
        <v>169</v>
      </c>
      <c r="C190">
        <v>206857</v>
      </c>
      <c r="D190" s="2" t="str">
        <f>VLOOKUP(B190,'İl-Bölge'!$A:$B,2,FALSE)</f>
        <v>Doğu Anadolu</v>
      </c>
      <c r="E190" s="2"/>
    </row>
    <row r="191" spans="1:5" x14ac:dyDescent="0.25">
      <c r="A191">
        <v>2025</v>
      </c>
      <c r="B191" t="s">
        <v>169</v>
      </c>
      <c r="C191">
        <v>205071</v>
      </c>
      <c r="D191" s="2" t="str">
        <f>VLOOKUP(B191,'İl-Bölge'!$A:$B,2,FALSE)</f>
        <v>Doğu Anadolu</v>
      </c>
      <c r="E191" s="2"/>
    </row>
    <row r="192" spans="1:5" x14ac:dyDescent="0.25">
      <c r="A192">
        <v>2000</v>
      </c>
      <c r="B192" t="s">
        <v>125</v>
      </c>
      <c r="C192">
        <v>513681</v>
      </c>
      <c r="D192" s="2" t="str">
        <f>VLOOKUP(B192,'İl-Bölge'!$A:$B,2,FALSE)</f>
        <v>Akdeniz</v>
      </c>
      <c r="E192" s="2"/>
    </row>
    <row r="193" spans="1:5" x14ac:dyDescent="0.25">
      <c r="A193">
        <v>2010</v>
      </c>
      <c r="B193" t="s">
        <v>125</v>
      </c>
      <c r="C193">
        <v>448298</v>
      </c>
      <c r="D193" s="2" t="str">
        <f>VLOOKUP(B193,'İl-Bölge'!$A:$B,2,FALSE)</f>
        <v>Akdeniz</v>
      </c>
      <c r="E193" s="2"/>
    </row>
    <row r="194" spans="1:5" x14ac:dyDescent="0.25">
      <c r="A194">
        <v>2020</v>
      </c>
      <c r="B194" t="s">
        <v>125</v>
      </c>
      <c r="C194">
        <v>440304</v>
      </c>
      <c r="D194" s="2" t="str">
        <f>VLOOKUP(B194,'İl-Bölge'!$A:$B,2,FALSE)</f>
        <v>Akdeniz</v>
      </c>
      <c r="E194" s="2"/>
    </row>
    <row r="195" spans="1:5" x14ac:dyDescent="0.25">
      <c r="A195">
        <v>2024</v>
      </c>
      <c r="B195" t="s">
        <v>125</v>
      </c>
      <c r="C195">
        <v>446409</v>
      </c>
      <c r="D195" s="2" t="str">
        <f>VLOOKUP(B195,'İl-Bölge'!$A:$B,2,FALSE)</f>
        <v>Akdeniz</v>
      </c>
      <c r="E195" s="2"/>
    </row>
    <row r="196" spans="1:5" x14ac:dyDescent="0.25">
      <c r="A196">
        <v>2025</v>
      </c>
      <c r="B196" t="s">
        <v>125</v>
      </c>
      <c r="C196">
        <v>445303</v>
      </c>
      <c r="D196" s="2" t="str">
        <f>VLOOKUP(B196,'İl-Bölge'!$A:$B,2,FALSE)</f>
        <v>Akdeniz</v>
      </c>
      <c r="E196" s="2"/>
    </row>
    <row r="197" spans="1:5" x14ac:dyDescent="0.25">
      <c r="A197">
        <v>2000</v>
      </c>
      <c r="B197" t="s">
        <v>127</v>
      </c>
      <c r="C197">
        <v>10018735</v>
      </c>
      <c r="D197" s="2" t="str">
        <f>VLOOKUP(B197,'İl-Bölge'!$A:$B,2,FALSE)</f>
        <v>Marmara</v>
      </c>
      <c r="E197" s="2"/>
    </row>
    <row r="198" spans="1:5" x14ac:dyDescent="0.25">
      <c r="A198">
        <v>2010</v>
      </c>
      <c r="B198" t="s">
        <v>127</v>
      </c>
      <c r="C198">
        <v>13255685</v>
      </c>
      <c r="D198" s="2" t="str">
        <f>VLOOKUP(B198,'İl-Bölge'!$A:$B,2,FALSE)</f>
        <v>Marmara</v>
      </c>
      <c r="E198" s="2"/>
    </row>
    <row r="199" spans="1:5" x14ac:dyDescent="0.25">
      <c r="A199">
        <v>2020</v>
      </c>
      <c r="B199" t="s">
        <v>127</v>
      </c>
      <c r="C199">
        <v>15462452</v>
      </c>
      <c r="D199" s="2" t="str">
        <f>VLOOKUP(B199,'İl-Bölge'!$A:$B,2,FALSE)</f>
        <v>Marmara</v>
      </c>
      <c r="E199" s="2"/>
    </row>
    <row r="200" spans="1:5" x14ac:dyDescent="0.25">
      <c r="A200">
        <v>2024</v>
      </c>
      <c r="B200" t="s">
        <v>127</v>
      </c>
      <c r="C200">
        <v>15701602</v>
      </c>
      <c r="D200" s="2" t="str">
        <f>VLOOKUP(B200,'İl-Bölge'!$A:$B,2,FALSE)</f>
        <v>Marmara</v>
      </c>
      <c r="E200" s="2"/>
    </row>
    <row r="201" spans="1:5" x14ac:dyDescent="0.25">
      <c r="A201">
        <v>2025</v>
      </c>
      <c r="B201" t="s">
        <v>127</v>
      </c>
      <c r="C201">
        <v>15754053</v>
      </c>
      <c r="D201" s="2" t="str">
        <f>VLOOKUP(B201,'İl-Bölge'!$A:$B,2,FALSE)</f>
        <v>Marmara</v>
      </c>
      <c r="E201" s="2"/>
    </row>
    <row r="202" spans="1:5" x14ac:dyDescent="0.25">
      <c r="A202">
        <v>2000</v>
      </c>
      <c r="B202" t="s">
        <v>128</v>
      </c>
      <c r="C202">
        <v>3370866</v>
      </c>
      <c r="D202" s="2" t="str">
        <f>VLOOKUP(B202,'İl-Bölge'!$A:$B,2,FALSE)</f>
        <v>Ege</v>
      </c>
      <c r="E202" s="2"/>
    </row>
    <row r="203" spans="1:5" x14ac:dyDescent="0.25">
      <c r="A203">
        <v>2010</v>
      </c>
      <c r="B203" t="s">
        <v>128</v>
      </c>
      <c r="C203">
        <v>3948848</v>
      </c>
      <c r="D203" s="2" t="str">
        <f>VLOOKUP(B203,'İl-Bölge'!$A:$B,2,FALSE)</f>
        <v>Ege</v>
      </c>
      <c r="E203" s="2"/>
    </row>
    <row r="204" spans="1:5" x14ac:dyDescent="0.25">
      <c r="A204">
        <v>2020</v>
      </c>
      <c r="B204" t="s">
        <v>128</v>
      </c>
      <c r="C204">
        <v>4394694</v>
      </c>
      <c r="D204" s="2" t="str">
        <f>VLOOKUP(B204,'İl-Bölge'!$A:$B,2,FALSE)</f>
        <v>Ege</v>
      </c>
      <c r="E204" s="2"/>
    </row>
    <row r="205" spans="1:5" x14ac:dyDescent="0.25">
      <c r="A205">
        <v>2024</v>
      </c>
      <c r="B205" t="s">
        <v>128</v>
      </c>
      <c r="C205">
        <v>4493242</v>
      </c>
      <c r="D205" s="2" t="str">
        <f>VLOOKUP(B205,'İl-Bölge'!$A:$B,2,FALSE)</f>
        <v>Ege</v>
      </c>
      <c r="E205" s="2"/>
    </row>
    <row r="206" spans="1:5" x14ac:dyDescent="0.25">
      <c r="A206">
        <v>2025</v>
      </c>
      <c r="B206" t="s">
        <v>128</v>
      </c>
      <c r="C206">
        <v>4504185</v>
      </c>
      <c r="D206" s="2" t="str">
        <f>VLOOKUP(B206,'İl-Bölge'!$A:$B,2,FALSE)</f>
        <v>Ege</v>
      </c>
      <c r="E206" s="2"/>
    </row>
    <row r="207" spans="1:5" x14ac:dyDescent="0.25">
      <c r="A207">
        <v>2000</v>
      </c>
      <c r="B207" t="s">
        <v>139</v>
      </c>
      <c r="C207">
        <v>1002384</v>
      </c>
      <c r="D207" s="2" t="str">
        <f>VLOOKUP(B207,'İl-Bölge'!$A:$B,2,FALSE)</f>
        <v>Akdeniz</v>
      </c>
      <c r="E207" s="2"/>
    </row>
    <row r="208" spans="1:5" x14ac:dyDescent="0.25">
      <c r="A208">
        <v>2010</v>
      </c>
      <c r="B208" t="s">
        <v>139</v>
      </c>
      <c r="C208">
        <v>1044816</v>
      </c>
      <c r="D208" s="2" t="str">
        <f>VLOOKUP(B208,'İl-Bölge'!$A:$B,2,FALSE)</f>
        <v>Akdeniz</v>
      </c>
      <c r="E208" s="2"/>
    </row>
    <row r="209" spans="1:5" x14ac:dyDescent="0.25">
      <c r="A209">
        <v>2020</v>
      </c>
      <c r="B209" t="s">
        <v>139</v>
      </c>
      <c r="C209">
        <v>1168163</v>
      </c>
      <c r="D209" s="2" t="str">
        <f>VLOOKUP(B209,'İl-Bölge'!$A:$B,2,FALSE)</f>
        <v>Akdeniz</v>
      </c>
      <c r="E209" s="2"/>
    </row>
    <row r="210" spans="1:5" x14ac:dyDescent="0.25">
      <c r="A210">
        <v>2024</v>
      </c>
      <c r="B210" t="s">
        <v>139</v>
      </c>
      <c r="C210">
        <v>1134105</v>
      </c>
      <c r="D210" s="2" t="str">
        <f>VLOOKUP(B210,'İl-Bölge'!$A:$B,2,FALSE)</f>
        <v>Akdeniz</v>
      </c>
      <c r="E210" s="2"/>
    </row>
    <row r="211" spans="1:5" x14ac:dyDescent="0.25">
      <c r="A211">
        <v>2025</v>
      </c>
      <c r="B211" t="s">
        <v>139</v>
      </c>
      <c r="C211">
        <v>1146278</v>
      </c>
      <c r="D211" s="2" t="str">
        <f>VLOOKUP(B211,'İl-Bölge'!$A:$B,2,FALSE)</f>
        <v>Akdeniz</v>
      </c>
      <c r="E211" s="2"/>
    </row>
    <row r="212" spans="1:5" x14ac:dyDescent="0.25">
      <c r="A212">
        <v>2000</v>
      </c>
      <c r="B212" t="s">
        <v>171</v>
      </c>
      <c r="C212">
        <v>225102</v>
      </c>
      <c r="D212" s="2" t="str">
        <f>VLOOKUP(B212,'İl-Bölge'!$A:$B,2,FALSE)</f>
        <v>Karadeniz</v>
      </c>
      <c r="E212" s="2"/>
    </row>
    <row r="213" spans="1:5" x14ac:dyDescent="0.25">
      <c r="A213">
        <v>2010</v>
      </c>
      <c r="B213" t="s">
        <v>171</v>
      </c>
      <c r="C213">
        <v>227610</v>
      </c>
      <c r="D213" s="2" t="str">
        <f>VLOOKUP(B213,'İl-Bölge'!$A:$B,2,FALSE)</f>
        <v>Karadeniz</v>
      </c>
      <c r="E213" s="2"/>
    </row>
    <row r="214" spans="1:5" x14ac:dyDescent="0.25">
      <c r="A214">
        <v>2020</v>
      </c>
      <c r="B214" t="s">
        <v>171</v>
      </c>
      <c r="C214">
        <v>243614</v>
      </c>
      <c r="D214" s="2" t="str">
        <f>VLOOKUP(B214,'İl-Bölge'!$A:$B,2,FALSE)</f>
        <v>Karadeniz</v>
      </c>
      <c r="E214" s="2"/>
    </row>
    <row r="215" spans="1:5" x14ac:dyDescent="0.25">
      <c r="A215">
        <v>2024</v>
      </c>
      <c r="B215" t="s">
        <v>171</v>
      </c>
      <c r="C215">
        <v>250478</v>
      </c>
      <c r="D215" s="2" t="str">
        <f>VLOOKUP(B215,'İl-Bölge'!$A:$B,2,FALSE)</f>
        <v>Karadeniz</v>
      </c>
      <c r="E215" s="2"/>
    </row>
    <row r="216" spans="1:5" x14ac:dyDescent="0.25">
      <c r="A216">
        <v>2025</v>
      </c>
      <c r="B216" t="s">
        <v>171</v>
      </c>
      <c r="C216">
        <v>249614</v>
      </c>
      <c r="D216" s="2" t="str">
        <f>VLOOKUP(B216,'İl-Bölge'!$A:$B,2,FALSE)</f>
        <v>Karadeniz</v>
      </c>
      <c r="E216" s="2"/>
    </row>
    <row r="217" spans="1:5" x14ac:dyDescent="0.25">
      <c r="A217">
        <v>2000</v>
      </c>
      <c r="B217" t="s">
        <v>163</v>
      </c>
      <c r="C217">
        <v>243210</v>
      </c>
      <c r="D217" s="2" t="str">
        <f>VLOOKUP(B217,'İl-Bölge'!$A:$B,2,FALSE)</f>
        <v>İç Anadolu</v>
      </c>
      <c r="E217" s="2"/>
    </row>
    <row r="218" spans="1:5" x14ac:dyDescent="0.25">
      <c r="A218">
        <v>2010</v>
      </c>
      <c r="B218" t="s">
        <v>163</v>
      </c>
      <c r="C218">
        <v>232633</v>
      </c>
      <c r="D218" s="2" t="str">
        <f>VLOOKUP(B218,'İl-Bölge'!$A:$B,2,FALSE)</f>
        <v>İç Anadolu</v>
      </c>
      <c r="E218" s="2"/>
    </row>
    <row r="219" spans="1:5" x14ac:dyDescent="0.25">
      <c r="A219">
        <v>2020</v>
      </c>
      <c r="B219" t="s">
        <v>163</v>
      </c>
      <c r="C219">
        <v>254919</v>
      </c>
      <c r="D219" s="2" t="str">
        <f>VLOOKUP(B219,'İl-Bölge'!$A:$B,2,FALSE)</f>
        <v>İç Anadolu</v>
      </c>
      <c r="E219" s="2"/>
    </row>
    <row r="220" spans="1:5" x14ac:dyDescent="0.25">
      <c r="A220">
        <v>2024</v>
      </c>
      <c r="B220" t="s">
        <v>163</v>
      </c>
      <c r="C220">
        <v>262791</v>
      </c>
      <c r="D220" s="2" t="str">
        <f>VLOOKUP(B220,'İl-Bölge'!$A:$B,2,FALSE)</f>
        <v>İç Anadolu</v>
      </c>
      <c r="E220" s="2"/>
    </row>
    <row r="221" spans="1:5" x14ac:dyDescent="0.25">
      <c r="A221">
        <v>2025</v>
      </c>
      <c r="B221" t="s">
        <v>163</v>
      </c>
      <c r="C221">
        <v>262355</v>
      </c>
      <c r="D221" s="2" t="str">
        <f>VLOOKUP(B221,'İl-Bölge'!$A:$B,2,FALSE)</f>
        <v>İç Anadolu</v>
      </c>
      <c r="E221" s="2"/>
    </row>
    <row r="222" spans="1:5" x14ac:dyDescent="0.25">
      <c r="A222">
        <v>2000</v>
      </c>
      <c r="B222" t="s">
        <v>129</v>
      </c>
      <c r="C222">
        <v>325016</v>
      </c>
      <c r="D222" s="2" t="str">
        <f>VLOOKUP(B222,'İl-Bölge'!$A:$B,2,FALSE)</f>
        <v>Doğu Anadolu</v>
      </c>
      <c r="E222" s="2"/>
    </row>
    <row r="223" spans="1:5" x14ac:dyDescent="0.25">
      <c r="A223">
        <v>2010</v>
      </c>
      <c r="B223" t="s">
        <v>129</v>
      </c>
      <c r="C223">
        <v>301766</v>
      </c>
      <c r="D223" s="2" t="str">
        <f>VLOOKUP(B223,'İl-Bölge'!$A:$B,2,FALSE)</f>
        <v>Doğu Anadolu</v>
      </c>
      <c r="E223" s="2"/>
    </row>
    <row r="224" spans="1:5" x14ac:dyDescent="0.25">
      <c r="A224">
        <v>2020</v>
      </c>
      <c r="B224" t="s">
        <v>129</v>
      </c>
      <c r="C224">
        <v>284923</v>
      </c>
      <c r="D224" s="2" t="str">
        <f>VLOOKUP(B224,'İl-Bölge'!$A:$B,2,FALSE)</f>
        <v>Doğu Anadolu</v>
      </c>
      <c r="E224" s="2"/>
    </row>
    <row r="225" spans="1:5" x14ac:dyDescent="0.25">
      <c r="A225">
        <v>2024</v>
      </c>
      <c r="B225" t="s">
        <v>129</v>
      </c>
      <c r="C225">
        <v>272300</v>
      </c>
      <c r="D225" s="2" t="str">
        <f>VLOOKUP(B225,'İl-Bölge'!$A:$B,2,FALSE)</f>
        <v>Doğu Anadolu</v>
      </c>
      <c r="E225" s="2"/>
    </row>
    <row r="226" spans="1:5" x14ac:dyDescent="0.25">
      <c r="A226">
        <v>2025</v>
      </c>
      <c r="B226" t="s">
        <v>129</v>
      </c>
      <c r="C226">
        <v>268991</v>
      </c>
      <c r="D226" s="2" t="str">
        <f>VLOOKUP(B226,'İl-Bölge'!$A:$B,2,FALSE)</f>
        <v>Doğu Anadolu</v>
      </c>
      <c r="E226" s="2"/>
    </row>
    <row r="227" spans="1:5" x14ac:dyDescent="0.25">
      <c r="A227">
        <v>2000</v>
      </c>
      <c r="B227" t="s">
        <v>130</v>
      </c>
      <c r="C227">
        <v>375476</v>
      </c>
      <c r="D227" s="2" t="str">
        <f>VLOOKUP(B227,'İl-Bölge'!$A:$B,2,FALSE)</f>
        <v>Karadeniz</v>
      </c>
      <c r="E227" s="2"/>
    </row>
    <row r="228" spans="1:5" x14ac:dyDescent="0.25">
      <c r="A228">
        <v>2010</v>
      </c>
      <c r="B228" t="s">
        <v>130</v>
      </c>
      <c r="C228">
        <v>361222</v>
      </c>
      <c r="D228" s="2" t="str">
        <f>VLOOKUP(B228,'İl-Bölge'!$A:$B,2,FALSE)</f>
        <v>Karadeniz</v>
      </c>
      <c r="E228" s="2"/>
    </row>
    <row r="229" spans="1:5" x14ac:dyDescent="0.25">
      <c r="A229">
        <v>2020</v>
      </c>
      <c r="B229" t="s">
        <v>130</v>
      </c>
      <c r="C229">
        <v>376377</v>
      </c>
      <c r="D229" s="2" t="str">
        <f>VLOOKUP(B229,'İl-Bölge'!$A:$B,2,FALSE)</f>
        <v>Karadeniz</v>
      </c>
      <c r="E229" s="2"/>
    </row>
    <row r="230" spans="1:5" x14ac:dyDescent="0.25">
      <c r="A230">
        <v>2024</v>
      </c>
      <c r="B230" t="s">
        <v>130</v>
      </c>
      <c r="C230">
        <v>381991</v>
      </c>
      <c r="D230" s="2" t="str">
        <f>VLOOKUP(B230,'İl-Bölge'!$A:$B,2,FALSE)</f>
        <v>Karadeniz</v>
      </c>
      <c r="E230" s="2"/>
    </row>
    <row r="231" spans="1:5" x14ac:dyDescent="0.25">
      <c r="A231">
        <v>2025</v>
      </c>
      <c r="B231" t="s">
        <v>130</v>
      </c>
      <c r="C231">
        <v>379934</v>
      </c>
      <c r="D231" s="2" t="str">
        <f>VLOOKUP(B231,'İl-Bölge'!$A:$B,2,FALSE)</f>
        <v>Karadeniz</v>
      </c>
      <c r="E231" s="2"/>
    </row>
    <row r="232" spans="1:5" x14ac:dyDescent="0.25">
      <c r="A232">
        <v>2000</v>
      </c>
      <c r="B232" t="s">
        <v>131</v>
      </c>
      <c r="C232">
        <v>1060432</v>
      </c>
      <c r="D232" s="2" t="str">
        <f>VLOOKUP(B232,'İl-Bölge'!$A:$B,2,FALSE)</f>
        <v>İç Anadolu</v>
      </c>
      <c r="E232" s="2"/>
    </row>
    <row r="233" spans="1:5" x14ac:dyDescent="0.25">
      <c r="A233">
        <v>2010</v>
      </c>
      <c r="B233" t="s">
        <v>131</v>
      </c>
      <c r="C233">
        <v>1234651</v>
      </c>
      <c r="D233" s="2" t="str">
        <f>VLOOKUP(B233,'İl-Bölge'!$A:$B,2,FALSE)</f>
        <v>İç Anadolu</v>
      </c>
      <c r="E233" s="2"/>
    </row>
    <row r="234" spans="1:5" x14ac:dyDescent="0.25">
      <c r="A234">
        <v>2020</v>
      </c>
      <c r="B234" t="s">
        <v>131</v>
      </c>
      <c r="C234">
        <v>1421455</v>
      </c>
      <c r="D234" s="2" t="str">
        <f>VLOOKUP(B234,'İl-Bölge'!$A:$B,2,FALSE)</f>
        <v>İç Anadolu</v>
      </c>
      <c r="E234" s="2"/>
    </row>
    <row r="235" spans="1:5" x14ac:dyDescent="0.25">
      <c r="A235">
        <v>2024</v>
      </c>
      <c r="B235" t="s">
        <v>131</v>
      </c>
      <c r="C235">
        <v>1452458</v>
      </c>
      <c r="D235" s="2" t="str">
        <f>VLOOKUP(B235,'İl-Bölge'!$A:$B,2,FALSE)</f>
        <v>İç Anadolu</v>
      </c>
      <c r="E235" s="2"/>
    </row>
    <row r="236" spans="1:5" x14ac:dyDescent="0.25">
      <c r="A236">
        <v>2025</v>
      </c>
      <c r="B236" t="s">
        <v>131</v>
      </c>
      <c r="C236">
        <v>1458991</v>
      </c>
      <c r="D236" s="2" t="str">
        <f>VLOOKUP(B236,'İl-Bölge'!$A:$B,2,FALSE)</f>
        <v>İç Anadolu</v>
      </c>
      <c r="E236" s="2"/>
    </row>
    <row r="237" spans="1:5" x14ac:dyDescent="0.25">
      <c r="A237">
        <v>2000</v>
      </c>
      <c r="B237" t="s">
        <v>164</v>
      </c>
      <c r="C237">
        <v>383508</v>
      </c>
      <c r="D237" s="2" t="str">
        <f>VLOOKUP(B237,'İl-Bölge'!$A:$B,2,FALSE)</f>
        <v>İç Anadolu</v>
      </c>
      <c r="E237" s="2"/>
    </row>
    <row r="238" spans="1:5" x14ac:dyDescent="0.25">
      <c r="A238">
        <v>2010</v>
      </c>
      <c r="B238" t="s">
        <v>164</v>
      </c>
      <c r="C238">
        <v>276647</v>
      </c>
      <c r="D238" s="2" t="str">
        <f>VLOOKUP(B238,'İl-Bölge'!$A:$B,2,FALSE)</f>
        <v>İç Anadolu</v>
      </c>
      <c r="E238" s="2"/>
    </row>
    <row r="239" spans="1:5" x14ac:dyDescent="0.25">
      <c r="A239">
        <v>2020</v>
      </c>
      <c r="B239" t="s">
        <v>164</v>
      </c>
      <c r="C239">
        <v>278703</v>
      </c>
      <c r="D239" s="2" t="str">
        <f>VLOOKUP(B239,'İl-Bölge'!$A:$B,2,FALSE)</f>
        <v>İç Anadolu</v>
      </c>
      <c r="E239" s="2"/>
    </row>
    <row r="240" spans="1:5" x14ac:dyDescent="0.25">
      <c r="A240">
        <v>2024</v>
      </c>
      <c r="B240" t="s">
        <v>164</v>
      </c>
      <c r="C240">
        <v>283053</v>
      </c>
      <c r="D240" s="2" t="str">
        <f>VLOOKUP(B240,'İl-Bölge'!$A:$B,2,FALSE)</f>
        <v>İç Anadolu</v>
      </c>
      <c r="E240" s="2"/>
    </row>
    <row r="241" spans="1:5" x14ac:dyDescent="0.25">
      <c r="A241">
        <v>2025</v>
      </c>
      <c r="B241" t="s">
        <v>164</v>
      </c>
      <c r="C241">
        <v>282830</v>
      </c>
      <c r="D241" s="2" t="str">
        <f>VLOOKUP(B241,'İl-Bölge'!$A:$B,2,FALSE)</f>
        <v>İç Anadolu</v>
      </c>
      <c r="E241" s="2"/>
    </row>
    <row r="242" spans="1:5" x14ac:dyDescent="0.25">
      <c r="A242">
        <v>2000</v>
      </c>
      <c r="B242" t="s">
        <v>132</v>
      </c>
      <c r="C242">
        <v>328461</v>
      </c>
      <c r="D242" s="2" t="str">
        <f>VLOOKUP(B242,'İl-Bölge'!$A:$B,2,FALSE)</f>
        <v>Marmara</v>
      </c>
      <c r="E242" s="2"/>
    </row>
    <row r="243" spans="1:5" x14ac:dyDescent="0.25">
      <c r="A243">
        <v>2010</v>
      </c>
      <c r="B243" t="s">
        <v>132</v>
      </c>
      <c r="C243">
        <v>332791</v>
      </c>
      <c r="D243" s="2" t="str">
        <f>VLOOKUP(B243,'İl-Bölge'!$A:$B,2,FALSE)</f>
        <v>Marmara</v>
      </c>
      <c r="E243" s="2"/>
    </row>
    <row r="244" spans="1:5" x14ac:dyDescent="0.25">
      <c r="A244">
        <v>2020</v>
      </c>
      <c r="B244" t="s">
        <v>132</v>
      </c>
      <c r="C244">
        <v>361737</v>
      </c>
      <c r="D244" s="2" t="str">
        <f>VLOOKUP(B244,'İl-Bölge'!$A:$B,2,FALSE)</f>
        <v>Marmara</v>
      </c>
      <c r="E244" s="2"/>
    </row>
    <row r="245" spans="1:5" x14ac:dyDescent="0.25">
      <c r="A245">
        <v>2024</v>
      </c>
      <c r="B245" t="s">
        <v>132</v>
      </c>
      <c r="C245">
        <v>379031</v>
      </c>
      <c r="D245" s="2" t="str">
        <f>VLOOKUP(B245,'İl-Bölge'!$A:$B,2,FALSE)</f>
        <v>Marmara</v>
      </c>
      <c r="E245" s="2"/>
    </row>
    <row r="246" spans="1:5" x14ac:dyDescent="0.25">
      <c r="A246">
        <v>2025</v>
      </c>
      <c r="B246" t="s">
        <v>132</v>
      </c>
      <c r="C246">
        <v>379595</v>
      </c>
      <c r="D246" s="2" t="str">
        <f>VLOOKUP(B246,'İl-Bölge'!$A:$B,2,FALSE)</f>
        <v>Marmara</v>
      </c>
      <c r="E246" s="2"/>
    </row>
    <row r="247" spans="1:5" x14ac:dyDescent="0.25">
      <c r="A247">
        <v>2000</v>
      </c>
      <c r="B247" t="s">
        <v>133</v>
      </c>
      <c r="C247">
        <v>253239</v>
      </c>
      <c r="D247" s="2" t="str">
        <f>VLOOKUP(B247,'İl-Bölge'!$A:$B,2,FALSE)</f>
        <v>İç Anadolu</v>
      </c>
      <c r="E247" s="2"/>
    </row>
    <row r="248" spans="1:5" x14ac:dyDescent="0.25">
      <c r="A248">
        <v>2010</v>
      </c>
      <c r="B248" t="s">
        <v>133</v>
      </c>
      <c r="C248">
        <v>221876</v>
      </c>
      <c r="D248" s="2" t="str">
        <f>VLOOKUP(B248,'İl-Bölge'!$A:$B,2,FALSE)</f>
        <v>İç Anadolu</v>
      </c>
      <c r="E248" s="2"/>
    </row>
    <row r="249" spans="1:5" x14ac:dyDescent="0.25">
      <c r="A249">
        <v>2020</v>
      </c>
      <c r="B249" t="s">
        <v>133</v>
      </c>
      <c r="C249">
        <v>243042</v>
      </c>
      <c r="D249" s="2" t="str">
        <f>VLOOKUP(B249,'İl-Bölge'!$A:$B,2,FALSE)</f>
        <v>İç Anadolu</v>
      </c>
      <c r="E249" s="2"/>
    </row>
    <row r="250" spans="1:5" x14ac:dyDescent="0.25">
      <c r="A250">
        <v>2024</v>
      </c>
      <c r="B250" t="s">
        <v>133</v>
      </c>
      <c r="C250">
        <v>244546</v>
      </c>
      <c r="D250" s="2" t="str">
        <f>VLOOKUP(B250,'İl-Bölge'!$A:$B,2,FALSE)</f>
        <v>İç Anadolu</v>
      </c>
      <c r="E250" s="2"/>
    </row>
    <row r="251" spans="1:5" x14ac:dyDescent="0.25">
      <c r="A251">
        <v>2025</v>
      </c>
      <c r="B251" t="s">
        <v>133</v>
      </c>
      <c r="C251">
        <v>242777</v>
      </c>
      <c r="D251" s="2" t="str">
        <f>VLOOKUP(B251,'İl-Bölge'!$A:$B,2,FALSE)</f>
        <v>İç Anadolu</v>
      </c>
      <c r="E251" s="2"/>
    </row>
    <row r="252" spans="1:5" ht="30" x14ac:dyDescent="0.25">
      <c r="A252">
        <v>2000</v>
      </c>
      <c r="B252" t="s">
        <v>172</v>
      </c>
      <c r="C252">
        <v>114724</v>
      </c>
      <c r="D252" s="2" t="str">
        <f>VLOOKUP(B252,'İl-Bölge'!$A:$B,2,FALSE)</f>
        <v>Güneydoğu Anadolu</v>
      </c>
      <c r="E252" s="2"/>
    </row>
    <row r="253" spans="1:5" ht="30" x14ac:dyDescent="0.25">
      <c r="A253">
        <v>2010</v>
      </c>
      <c r="B253" t="s">
        <v>172</v>
      </c>
      <c r="C253">
        <v>123135</v>
      </c>
      <c r="D253" s="2" t="str">
        <f>VLOOKUP(B253,'İl-Bölge'!$A:$B,2,FALSE)</f>
        <v>Güneydoğu Anadolu</v>
      </c>
      <c r="E253" s="2"/>
    </row>
    <row r="254" spans="1:5" ht="30" x14ac:dyDescent="0.25">
      <c r="A254">
        <v>2020</v>
      </c>
      <c r="B254" t="s">
        <v>172</v>
      </c>
      <c r="C254">
        <v>142792</v>
      </c>
      <c r="D254" s="2" t="str">
        <f>VLOOKUP(B254,'İl-Bölge'!$A:$B,2,FALSE)</f>
        <v>Güneydoğu Anadolu</v>
      </c>
      <c r="E254" s="2"/>
    </row>
    <row r="255" spans="1:5" ht="30" x14ac:dyDescent="0.25">
      <c r="A255">
        <v>2024</v>
      </c>
      <c r="B255" t="s">
        <v>172</v>
      </c>
      <c r="C255">
        <v>156739</v>
      </c>
      <c r="D255" s="2" t="str">
        <f>VLOOKUP(B255,'İl-Bölge'!$A:$B,2,FALSE)</f>
        <v>Güneydoğu Anadolu</v>
      </c>
      <c r="E255" s="2"/>
    </row>
    <row r="256" spans="1:5" ht="30" x14ac:dyDescent="0.25">
      <c r="A256">
        <v>2025</v>
      </c>
      <c r="B256" t="s">
        <v>172</v>
      </c>
      <c r="C256">
        <v>157363</v>
      </c>
      <c r="D256" s="2" t="str">
        <f>VLOOKUP(B256,'İl-Bölge'!$A:$B,2,FALSE)</f>
        <v>Güneydoğu Anadolu</v>
      </c>
      <c r="E256" s="2"/>
    </row>
    <row r="257" spans="1:5" x14ac:dyDescent="0.25">
      <c r="A257">
        <v>2000</v>
      </c>
      <c r="B257" t="s">
        <v>134</v>
      </c>
      <c r="C257">
        <v>1206085</v>
      </c>
      <c r="D257" s="2" t="str">
        <f>VLOOKUP(B257,'İl-Bölge'!$A:$B,2,FALSE)</f>
        <v>Marmara</v>
      </c>
      <c r="E257" s="2"/>
    </row>
    <row r="258" spans="1:5" x14ac:dyDescent="0.25">
      <c r="A258">
        <v>2010</v>
      </c>
      <c r="B258" t="s">
        <v>134</v>
      </c>
      <c r="C258">
        <v>1560138</v>
      </c>
      <c r="D258" s="2" t="str">
        <f>VLOOKUP(B258,'İl-Bölge'!$A:$B,2,FALSE)</f>
        <v>Marmara</v>
      </c>
      <c r="E258" s="2"/>
    </row>
    <row r="259" spans="1:5" x14ac:dyDescent="0.25">
      <c r="A259">
        <v>2020</v>
      </c>
      <c r="B259" t="s">
        <v>134</v>
      </c>
      <c r="C259">
        <v>1997258</v>
      </c>
      <c r="D259" s="2" t="str">
        <f>VLOOKUP(B259,'İl-Bölge'!$A:$B,2,FALSE)</f>
        <v>Marmara</v>
      </c>
      <c r="E259" s="2"/>
    </row>
    <row r="260" spans="1:5" x14ac:dyDescent="0.25">
      <c r="A260">
        <v>2024</v>
      </c>
      <c r="B260" t="s">
        <v>134</v>
      </c>
      <c r="C260">
        <v>2130006</v>
      </c>
      <c r="D260" s="2" t="str">
        <f>VLOOKUP(B260,'İl-Bölge'!$A:$B,2,FALSE)</f>
        <v>Marmara</v>
      </c>
      <c r="E260" s="2"/>
    </row>
    <row r="261" spans="1:5" x14ac:dyDescent="0.25">
      <c r="A261">
        <v>2025</v>
      </c>
      <c r="B261" t="s">
        <v>134</v>
      </c>
      <c r="C261">
        <v>2161171</v>
      </c>
      <c r="D261" s="2" t="str">
        <f>VLOOKUP(B261,'İl-Bölge'!$A:$B,2,FALSE)</f>
        <v>Marmara</v>
      </c>
      <c r="E261" s="2"/>
    </row>
    <row r="262" spans="1:5" x14ac:dyDescent="0.25">
      <c r="A262">
        <v>2000</v>
      </c>
      <c r="B262" t="s">
        <v>135</v>
      </c>
      <c r="C262">
        <v>2192166</v>
      </c>
      <c r="D262" s="2" t="str">
        <f>VLOOKUP(B262,'İl-Bölge'!$A:$B,2,FALSE)</f>
        <v>İç Anadolu</v>
      </c>
      <c r="E262" s="2"/>
    </row>
    <row r="263" spans="1:5" x14ac:dyDescent="0.25">
      <c r="A263">
        <v>2010</v>
      </c>
      <c r="B263" t="s">
        <v>135</v>
      </c>
      <c r="C263">
        <v>2013845</v>
      </c>
      <c r="D263" s="2" t="str">
        <f>VLOOKUP(B263,'İl-Bölge'!$A:$B,2,FALSE)</f>
        <v>İç Anadolu</v>
      </c>
      <c r="E263" s="2"/>
    </row>
    <row r="264" spans="1:5" x14ac:dyDescent="0.25">
      <c r="A264">
        <v>2020</v>
      </c>
      <c r="B264" t="s">
        <v>135</v>
      </c>
      <c r="C264">
        <v>2250020</v>
      </c>
      <c r="D264" s="2" t="str">
        <f>VLOOKUP(B264,'İl-Bölge'!$A:$B,2,FALSE)</f>
        <v>İç Anadolu</v>
      </c>
      <c r="E264" s="2"/>
    </row>
    <row r="265" spans="1:5" x14ac:dyDescent="0.25">
      <c r="A265">
        <v>2024</v>
      </c>
      <c r="B265" t="s">
        <v>135</v>
      </c>
      <c r="C265">
        <v>2330024</v>
      </c>
      <c r="D265" s="2" t="str">
        <f>VLOOKUP(B265,'İl-Bölge'!$A:$B,2,FALSE)</f>
        <v>İç Anadolu</v>
      </c>
      <c r="E265" s="2"/>
    </row>
    <row r="266" spans="1:5" x14ac:dyDescent="0.25">
      <c r="A266">
        <v>2025</v>
      </c>
      <c r="B266" t="s">
        <v>135</v>
      </c>
      <c r="C266">
        <v>2343409</v>
      </c>
      <c r="D266" s="2" t="str">
        <f>VLOOKUP(B266,'İl-Bölge'!$A:$B,2,FALSE)</f>
        <v>İç Anadolu</v>
      </c>
      <c r="E266" s="2"/>
    </row>
    <row r="267" spans="1:5" x14ac:dyDescent="0.25">
      <c r="A267">
        <v>2000</v>
      </c>
      <c r="B267" t="s">
        <v>136</v>
      </c>
      <c r="C267">
        <v>656903</v>
      </c>
      <c r="D267" s="2" t="str">
        <f>VLOOKUP(B267,'İl-Bölge'!$A:$B,2,FALSE)</f>
        <v>Ege</v>
      </c>
      <c r="E267" s="2"/>
    </row>
    <row r="268" spans="1:5" x14ac:dyDescent="0.25">
      <c r="A268">
        <v>2010</v>
      </c>
      <c r="B268" t="s">
        <v>136</v>
      </c>
      <c r="C268">
        <v>590496</v>
      </c>
      <c r="D268" s="2" t="str">
        <f>VLOOKUP(B268,'İl-Bölge'!$A:$B,2,FALSE)</f>
        <v>Ege</v>
      </c>
      <c r="E268" s="2"/>
    </row>
    <row r="269" spans="1:5" x14ac:dyDescent="0.25">
      <c r="A269">
        <v>2020</v>
      </c>
      <c r="B269" t="s">
        <v>136</v>
      </c>
      <c r="C269">
        <v>576688</v>
      </c>
      <c r="D269" s="2" t="str">
        <f>VLOOKUP(B269,'İl-Bölge'!$A:$B,2,FALSE)</f>
        <v>Ege</v>
      </c>
      <c r="E269" s="2"/>
    </row>
    <row r="270" spans="1:5" x14ac:dyDescent="0.25">
      <c r="A270">
        <v>2024</v>
      </c>
      <c r="B270" t="s">
        <v>136</v>
      </c>
      <c r="C270">
        <v>571078</v>
      </c>
      <c r="D270" s="2" t="str">
        <f>VLOOKUP(B270,'İl-Bölge'!$A:$B,2,FALSE)</f>
        <v>Ege</v>
      </c>
      <c r="E270" s="2"/>
    </row>
    <row r="271" spans="1:5" x14ac:dyDescent="0.25">
      <c r="A271">
        <v>2025</v>
      </c>
      <c r="B271" t="s">
        <v>136</v>
      </c>
      <c r="C271">
        <v>570478</v>
      </c>
      <c r="D271" s="2" t="str">
        <f>VLOOKUP(B271,'İl-Bölge'!$A:$B,2,FALSE)</f>
        <v>Ege</v>
      </c>
      <c r="E271" s="2"/>
    </row>
    <row r="272" spans="1:5" x14ac:dyDescent="0.25">
      <c r="A272">
        <v>2000</v>
      </c>
      <c r="B272" t="s">
        <v>137</v>
      </c>
      <c r="C272">
        <v>853658</v>
      </c>
      <c r="D272" s="2" t="str">
        <f>VLOOKUP(B272,'İl-Bölge'!$A:$B,2,FALSE)</f>
        <v>Doğu Anadolu</v>
      </c>
      <c r="E272" s="2"/>
    </row>
    <row r="273" spans="1:5" x14ac:dyDescent="0.25">
      <c r="A273">
        <v>2010</v>
      </c>
      <c r="B273" t="s">
        <v>137</v>
      </c>
      <c r="C273">
        <v>740643</v>
      </c>
      <c r="D273" s="2" t="str">
        <f>VLOOKUP(B273,'İl-Bölge'!$A:$B,2,FALSE)</f>
        <v>Doğu Anadolu</v>
      </c>
      <c r="E273" s="2"/>
    </row>
    <row r="274" spans="1:5" x14ac:dyDescent="0.25">
      <c r="A274">
        <v>2020</v>
      </c>
      <c r="B274" t="s">
        <v>137</v>
      </c>
      <c r="C274">
        <v>806156</v>
      </c>
      <c r="D274" s="2" t="str">
        <f>VLOOKUP(B274,'İl-Bölge'!$A:$B,2,FALSE)</f>
        <v>Doğu Anadolu</v>
      </c>
      <c r="E274" s="2"/>
    </row>
    <row r="275" spans="1:5" x14ac:dyDescent="0.25">
      <c r="A275">
        <v>2024</v>
      </c>
      <c r="B275" t="s">
        <v>137</v>
      </c>
      <c r="C275">
        <v>750491</v>
      </c>
      <c r="D275" s="2" t="str">
        <f>VLOOKUP(B275,'İl-Bölge'!$A:$B,2,FALSE)</f>
        <v>Doğu Anadolu</v>
      </c>
      <c r="E275" s="2"/>
    </row>
    <row r="276" spans="1:5" x14ac:dyDescent="0.25">
      <c r="A276">
        <v>2025</v>
      </c>
      <c r="B276" t="s">
        <v>137</v>
      </c>
      <c r="C276">
        <v>755854</v>
      </c>
      <c r="D276" s="2" t="str">
        <f>VLOOKUP(B276,'İl-Bölge'!$A:$B,2,FALSE)</f>
        <v>Doğu Anadolu</v>
      </c>
      <c r="E276" s="2"/>
    </row>
    <row r="277" spans="1:5" x14ac:dyDescent="0.25">
      <c r="A277">
        <v>2000</v>
      </c>
      <c r="B277" t="s">
        <v>138</v>
      </c>
      <c r="C277">
        <v>1260169</v>
      </c>
      <c r="D277" s="2" t="str">
        <f>VLOOKUP(B277,'İl-Bölge'!$A:$B,2,FALSE)</f>
        <v>Ege</v>
      </c>
      <c r="E277" s="2"/>
    </row>
    <row r="278" spans="1:5" x14ac:dyDescent="0.25">
      <c r="A278">
        <v>2010</v>
      </c>
      <c r="B278" t="s">
        <v>138</v>
      </c>
      <c r="C278">
        <v>1379484</v>
      </c>
      <c r="D278" s="2" t="str">
        <f>VLOOKUP(B278,'İl-Bölge'!$A:$B,2,FALSE)</f>
        <v>Ege</v>
      </c>
      <c r="E278" s="2"/>
    </row>
    <row r="279" spans="1:5" x14ac:dyDescent="0.25">
      <c r="A279">
        <v>2020</v>
      </c>
      <c r="B279" t="s">
        <v>138</v>
      </c>
      <c r="C279">
        <v>1450616</v>
      </c>
      <c r="D279" s="2" t="str">
        <f>VLOOKUP(B279,'İl-Bölge'!$A:$B,2,FALSE)</f>
        <v>Ege</v>
      </c>
      <c r="E279" s="2"/>
    </row>
    <row r="280" spans="1:5" x14ac:dyDescent="0.25">
      <c r="A280">
        <v>2024</v>
      </c>
      <c r="B280" t="s">
        <v>138</v>
      </c>
      <c r="C280">
        <v>1475353</v>
      </c>
      <c r="D280" s="2" t="str">
        <f>VLOOKUP(B280,'İl-Bölge'!$A:$B,2,FALSE)</f>
        <v>Ege</v>
      </c>
      <c r="E280" s="2"/>
    </row>
    <row r="281" spans="1:5" x14ac:dyDescent="0.25">
      <c r="A281">
        <v>2025</v>
      </c>
      <c r="B281" t="s">
        <v>138</v>
      </c>
      <c r="C281">
        <v>1477756</v>
      </c>
      <c r="D281" s="2" t="str">
        <f>VLOOKUP(B281,'İl-Bölge'!$A:$B,2,FALSE)</f>
        <v>Ege</v>
      </c>
      <c r="E281" s="2"/>
    </row>
    <row r="282" spans="1:5" ht="30" x14ac:dyDescent="0.25">
      <c r="A282">
        <v>2000</v>
      </c>
      <c r="B282" t="s">
        <v>140</v>
      </c>
      <c r="C282">
        <v>705098</v>
      </c>
      <c r="D282" s="2" t="str">
        <f>VLOOKUP(B282,'İl-Bölge'!$A:$B,2,FALSE)</f>
        <v>Güneydoğu Anadolu</v>
      </c>
      <c r="E282" s="2"/>
    </row>
    <row r="283" spans="1:5" ht="30" x14ac:dyDescent="0.25">
      <c r="A283">
        <v>2010</v>
      </c>
      <c r="B283" t="s">
        <v>140</v>
      </c>
      <c r="C283">
        <v>744606</v>
      </c>
      <c r="D283" s="2" t="str">
        <f>VLOOKUP(B283,'İl-Bölge'!$A:$B,2,FALSE)</f>
        <v>Güneydoğu Anadolu</v>
      </c>
      <c r="E283" s="2"/>
    </row>
    <row r="284" spans="1:5" ht="30" x14ac:dyDescent="0.25">
      <c r="A284">
        <v>2020</v>
      </c>
      <c r="B284" t="s">
        <v>140</v>
      </c>
      <c r="C284">
        <v>854716</v>
      </c>
      <c r="D284" s="2" t="str">
        <f>VLOOKUP(B284,'İl-Bölge'!$A:$B,2,FALSE)</f>
        <v>Güneydoğu Anadolu</v>
      </c>
      <c r="E284" s="2"/>
    </row>
    <row r="285" spans="1:5" ht="30" x14ac:dyDescent="0.25">
      <c r="A285">
        <v>2024</v>
      </c>
      <c r="B285" t="s">
        <v>140</v>
      </c>
      <c r="C285">
        <v>895911</v>
      </c>
      <c r="D285" s="2" t="str">
        <f>VLOOKUP(B285,'İl-Bölge'!$A:$B,2,FALSE)</f>
        <v>Güneydoğu Anadolu</v>
      </c>
      <c r="E285" s="2"/>
    </row>
    <row r="286" spans="1:5" ht="30" x14ac:dyDescent="0.25">
      <c r="A286">
        <v>2025</v>
      </c>
      <c r="B286" t="s">
        <v>140</v>
      </c>
      <c r="C286">
        <v>903576</v>
      </c>
      <c r="D286" s="2" t="str">
        <f>VLOOKUP(B286,'İl-Bölge'!$A:$B,2,FALSE)</f>
        <v>Güneydoğu Anadolu</v>
      </c>
      <c r="E286" s="2"/>
    </row>
    <row r="287" spans="1:5" x14ac:dyDescent="0.25">
      <c r="A287">
        <v>2000</v>
      </c>
      <c r="B287" t="s">
        <v>126</v>
      </c>
      <c r="C287">
        <v>1651400</v>
      </c>
      <c r="D287" s="2" t="str">
        <f>VLOOKUP(B287,'İl-Bölge'!$A:$B,2,FALSE)</f>
        <v>Akdeniz</v>
      </c>
      <c r="E287" s="2"/>
    </row>
    <row r="288" spans="1:5" x14ac:dyDescent="0.25">
      <c r="A288">
        <v>2010</v>
      </c>
      <c r="B288" t="s">
        <v>126</v>
      </c>
      <c r="C288">
        <v>1647899</v>
      </c>
      <c r="D288" s="2" t="str">
        <f>VLOOKUP(B288,'İl-Bölge'!$A:$B,2,FALSE)</f>
        <v>Akdeniz</v>
      </c>
      <c r="E288" s="2"/>
    </row>
    <row r="289" spans="1:5" x14ac:dyDescent="0.25">
      <c r="A289">
        <v>2020</v>
      </c>
      <c r="B289" t="s">
        <v>126</v>
      </c>
      <c r="C289">
        <v>1868757</v>
      </c>
      <c r="D289" s="2" t="str">
        <f>VLOOKUP(B289,'İl-Bölge'!$A:$B,2,FALSE)</f>
        <v>Akdeniz</v>
      </c>
      <c r="E289" s="2"/>
    </row>
    <row r="290" spans="1:5" x14ac:dyDescent="0.25">
      <c r="A290">
        <v>2024</v>
      </c>
      <c r="B290" t="s">
        <v>126</v>
      </c>
      <c r="C290">
        <v>1954279</v>
      </c>
      <c r="D290" s="2" t="str">
        <f>VLOOKUP(B290,'İl-Bölge'!$A:$B,2,FALSE)</f>
        <v>Akdeniz</v>
      </c>
      <c r="E290" s="2"/>
    </row>
    <row r="291" spans="1:5" x14ac:dyDescent="0.25">
      <c r="A291">
        <v>2025</v>
      </c>
      <c r="B291" t="s">
        <v>126</v>
      </c>
      <c r="C291">
        <v>1956428</v>
      </c>
      <c r="D291" s="2" t="str">
        <f>VLOOKUP(B291,'İl-Bölge'!$A:$B,2,FALSE)</f>
        <v>Akdeniz</v>
      </c>
      <c r="E291" s="2"/>
    </row>
    <row r="292" spans="1:5" x14ac:dyDescent="0.25">
      <c r="A292">
        <v>2000</v>
      </c>
      <c r="B292" t="s">
        <v>141</v>
      </c>
      <c r="C292">
        <v>715328</v>
      </c>
      <c r="D292" s="2" t="str">
        <f>VLOOKUP(B292,'İl-Bölge'!$A:$B,2,FALSE)</f>
        <v>Ege</v>
      </c>
      <c r="E292" s="2"/>
    </row>
    <row r="293" spans="1:5" x14ac:dyDescent="0.25">
      <c r="A293">
        <v>2010</v>
      </c>
      <c r="B293" t="s">
        <v>141</v>
      </c>
      <c r="C293">
        <v>817503</v>
      </c>
      <c r="D293" s="2" t="str">
        <f>VLOOKUP(B293,'İl-Bölge'!$A:$B,2,FALSE)</f>
        <v>Ege</v>
      </c>
      <c r="E293" s="2"/>
    </row>
    <row r="294" spans="1:5" x14ac:dyDescent="0.25">
      <c r="A294">
        <v>2020</v>
      </c>
      <c r="B294" t="s">
        <v>141</v>
      </c>
      <c r="C294">
        <v>1000773</v>
      </c>
      <c r="D294" s="2" t="str">
        <f>VLOOKUP(B294,'İl-Bölge'!$A:$B,2,FALSE)</f>
        <v>Ege</v>
      </c>
      <c r="E294" s="2"/>
    </row>
    <row r="295" spans="1:5" x14ac:dyDescent="0.25">
      <c r="A295">
        <v>2024</v>
      </c>
      <c r="B295" t="s">
        <v>141</v>
      </c>
      <c r="C295">
        <v>1081867</v>
      </c>
      <c r="D295" s="2" t="str">
        <f>VLOOKUP(B295,'İl-Bölge'!$A:$B,2,FALSE)</f>
        <v>Ege</v>
      </c>
      <c r="E295" s="2"/>
    </row>
    <row r="296" spans="1:5" x14ac:dyDescent="0.25">
      <c r="A296">
        <v>2025</v>
      </c>
      <c r="B296" t="s">
        <v>141</v>
      </c>
      <c r="C296">
        <v>1099547</v>
      </c>
      <c r="D296" s="2" t="str">
        <f>VLOOKUP(B296,'İl-Bölge'!$A:$B,2,FALSE)</f>
        <v>Ege</v>
      </c>
      <c r="E296" s="2"/>
    </row>
    <row r="297" spans="1:5" x14ac:dyDescent="0.25">
      <c r="A297">
        <v>2000</v>
      </c>
      <c r="B297" t="s">
        <v>142</v>
      </c>
      <c r="C297">
        <v>453654</v>
      </c>
      <c r="D297" s="2" t="str">
        <f>VLOOKUP(B297,'İl-Bölge'!$A:$B,2,FALSE)</f>
        <v>Doğu Anadolu</v>
      </c>
      <c r="E297" s="2"/>
    </row>
    <row r="298" spans="1:5" x14ac:dyDescent="0.25">
      <c r="A298">
        <v>2010</v>
      </c>
      <c r="B298" t="s">
        <v>142</v>
      </c>
      <c r="C298">
        <v>406886</v>
      </c>
      <c r="D298" s="2" t="str">
        <f>VLOOKUP(B298,'İl-Bölge'!$A:$B,2,FALSE)</f>
        <v>Doğu Anadolu</v>
      </c>
      <c r="E298" s="2"/>
    </row>
    <row r="299" spans="1:5" x14ac:dyDescent="0.25">
      <c r="A299">
        <v>2020</v>
      </c>
      <c r="B299" t="s">
        <v>142</v>
      </c>
      <c r="C299">
        <v>411117</v>
      </c>
      <c r="D299" s="2" t="str">
        <f>VLOOKUP(B299,'İl-Bölge'!$A:$B,2,FALSE)</f>
        <v>Doğu Anadolu</v>
      </c>
      <c r="E299" s="2"/>
    </row>
    <row r="300" spans="1:5" x14ac:dyDescent="0.25">
      <c r="A300">
        <v>2024</v>
      </c>
      <c r="B300" t="s">
        <v>142</v>
      </c>
      <c r="C300">
        <v>392301</v>
      </c>
      <c r="D300" s="2" t="str">
        <f>VLOOKUP(B300,'İl-Bölge'!$A:$B,2,FALSE)</f>
        <v>Doğu Anadolu</v>
      </c>
      <c r="E300" s="2"/>
    </row>
    <row r="301" spans="1:5" x14ac:dyDescent="0.25">
      <c r="A301">
        <v>2025</v>
      </c>
      <c r="B301" t="s">
        <v>142</v>
      </c>
      <c r="C301">
        <v>389127</v>
      </c>
      <c r="D301" s="2" t="str">
        <f>VLOOKUP(B301,'İl-Bölge'!$A:$B,2,FALSE)</f>
        <v>Doğu Anadolu</v>
      </c>
      <c r="E301" s="2"/>
    </row>
    <row r="302" spans="1:5" x14ac:dyDescent="0.25">
      <c r="A302">
        <v>2000</v>
      </c>
      <c r="B302" t="s">
        <v>143</v>
      </c>
      <c r="C302">
        <v>309914</v>
      </c>
      <c r="D302" s="2" t="str">
        <f>VLOOKUP(B302,'İl-Bölge'!$A:$B,2,FALSE)</f>
        <v>İç Anadolu</v>
      </c>
      <c r="E302" s="2"/>
    </row>
    <row r="303" spans="1:5" x14ac:dyDescent="0.25">
      <c r="A303">
        <v>2010</v>
      </c>
      <c r="B303" t="s">
        <v>143</v>
      </c>
      <c r="C303">
        <v>282337</v>
      </c>
      <c r="D303" s="2" t="str">
        <f>VLOOKUP(B303,'İl-Bölge'!$A:$B,2,FALSE)</f>
        <v>İç Anadolu</v>
      </c>
      <c r="E303" s="2"/>
    </row>
    <row r="304" spans="1:5" x14ac:dyDescent="0.25">
      <c r="A304">
        <v>2020</v>
      </c>
      <c r="B304" t="s">
        <v>143</v>
      </c>
      <c r="C304">
        <v>304962</v>
      </c>
      <c r="D304" s="2" t="str">
        <f>VLOOKUP(B304,'İl-Bölge'!$A:$B,2,FALSE)</f>
        <v>İç Anadolu</v>
      </c>
      <c r="E304" s="2"/>
    </row>
    <row r="305" spans="1:5" x14ac:dyDescent="0.25">
      <c r="A305">
        <v>2024</v>
      </c>
      <c r="B305" t="s">
        <v>143</v>
      </c>
      <c r="C305">
        <v>317952</v>
      </c>
      <c r="D305" s="2" t="str">
        <f>VLOOKUP(B305,'İl-Bölge'!$A:$B,2,FALSE)</f>
        <v>İç Anadolu</v>
      </c>
      <c r="E305" s="2"/>
    </row>
    <row r="306" spans="1:5" x14ac:dyDescent="0.25">
      <c r="A306">
        <v>2025</v>
      </c>
      <c r="B306" t="s">
        <v>143</v>
      </c>
      <c r="C306">
        <v>320150</v>
      </c>
      <c r="D306" s="2" t="str">
        <f>VLOOKUP(B306,'İl-Bölge'!$A:$B,2,FALSE)</f>
        <v>İç Anadolu</v>
      </c>
      <c r="E306" s="2"/>
    </row>
    <row r="307" spans="1:5" x14ac:dyDescent="0.25">
      <c r="A307">
        <v>2000</v>
      </c>
      <c r="B307" t="s">
        <v>144</v>
      </c>
      <c r="C307">
        <v>348081</v>
      </c>
      <c r="D307" s="2" t="str">
        <f>VLOOKUP(B307,'İl-Bölge'!$A:$B,2,FALSE)</f>
        <v>İç Anadolu</v>
      </c>
      <c r="E307" s="2"/>
    </row>
    <row r="308" spans="1:5" x14ac:dyDescent="0.25">
      <c r="A308">
        <v>2010</v>
      </c>
      <c r="B308" t="s">
        <v>144</v>
      </c>
      <c r="C308">
        <v>337931</v>
      </c>
      <c r="D308" s="2" t="str">
        <f>VLOOKUP(B308,'İl-Bölge'!$A:$B,2,FALSE)</f>
        <v>İç Anadolu</v>
      </c>
      <c r="E308" s="2"/>
    </row>
    <row r="309" spans="1:5" x14ac:dyDescent="0.25">
      <c r="A309">
        <v>2020</v>
      </c>
      <c r="B309" t="s">
        <v>144</v>
      </c>
      <c r="C309">
        <v>362071</v>
      </c>
      <c r="D309" s="2" t="str">
        <f>VLOOKUP(B309,'İl-Bölge'!$A:$B,2,FALSE)</f>
        <v>İç Anadolu</v>
      </c>
      <c r="E309" s="2"/>
    </row>
    <row r="310" spans="1:5" x14ac:dyDescent="0.25">
      <c r="A310">
        <v>2024</v>
      </c>
      <c r="B310" t="s">
        <v>144</v>
      </c>
      <c r="C310">
        <v>372708</v>
      </c>
      <c r="D310" s="2" t="str">
        <f>VLOOKUP(B310,'İl-Bölge'!$A:$B,2,FALSE)</f>
        <v>İç Anadolu</v>
      </c>
      <c r="E310" s="2"/>
    </row>
    <row r="311" spans="1:5" x14ac:dyDescent="0.25">
      <c r="A311">
        <v>2025</v>
      </c>
      <c r="B311" t="s">
        <v>144</v>
      </c>
      <c r="C311">
        <v>374492</v>
      </c>
      <c r="D311" s="2" t="str">
        <f>VLOOKUP(B311,'İl-Bölge'!$A:$B,2,FALSE)</f>
        <v>İç Anadolu</v>
      </c>
      <c r="E311" s="2"/>
    </row>
    <row r="312" spans="1:5" x14ac:dyDescent="0.25">
      <c r="A312">
        <v>2000</v>
      </c>
      <c r="B312" t="s">
        <v>145</v>
      </c>
      <c r="C312">
        <v>887765</v>
      </c>
      <c r="D312" s="2" t="str">
        <f>VLOOKUP(B312,'İl-Bölge'!$A:$B,2,FALSE)</f>
        <v>Karadeniz</v>
      </c>
      <c r="E312" s="2"/>
    </row>
    <row r="313" spans="1:5" x14ac:dyDescent="0.25">
      <c r="A313">
        <v>2010</v>
      </c>
      <c r="B313" t="s">
        <v>145</v>
      </c>
      <c r="C313">
        <v>719183</v>
      </c>
      <c r="D313" s="2" t="str">
        <f>VLOOKUP(B313,'İl-Bölge'!$A:$B,2,FALSE)</f>
        <v>Karadeniz</v>
      </c>
      <c r="E313" s="2"/>
    </row>
    <row r="314" spans="1:5" x14ac:dyDescent="0.25">
      <c r="A314">
        <v>2020</v>
      </c>
      <c r="B314" t="s">
        <v>145</v>
      </c>
      <c r="C314">
        <v>761400</v>
      </c>
      <c r="D314" s="2" t="str">
        <f>VLOOKUP(B314,'İl-Bölge'!$A:$B,2,FALSE)</f>
        <v>Karadeniz</v>
      </c>
      <c r="E314" s="2"/>
    </row>
    <row r="315" spans="1:5" x14ac:dyDescent="0.25">
      <c r="A315">
        <v>2024</v>
      </c>
      <c r="B315" t="s">
        <v>145</v>
      </c>
      <c r="C315">
        <v>770711</v>
      </c>
      <c r="D315" s="2" t="str">
        <f>VLOOKUP(B315,'İl-Bölge'!$A:$B,2,FALSE)</f>
        <v>Karadeniz</v>
      </c>
      <c r="E315" s="2"/>
    </row>
    <row r="316" spans="1:5" x14ac:dyDescent="0.25">
      <c r="A316">
        <v>2025</v>
      </c>
      <c r="B316" t="s">
        <v>145</v>
      </c>
      <c r="C316">
        <v>768087</v>
      </c>
      <c r="D316" s="2" t="str">
        <f>VLOOKUP(B316,'İl-Bölge'!$A:$B,2,FALSE)</f>
        <v>Karadeniz</v>
      </c>
      <c r="E316" s="2"/>
    </row>
    <row r="317" spans="1:5" x14ac:dyDescent="0.25">
      <c r="A317">
        <v>2000</v>
      </c>
      <c r="B317" t="s">
        <v>173</v>
      </c>
      <c r="C317">
        <v>458782</v>
      </c>
      <c r="D317" s="2" t="str">
        <f>VLOOKUP(B317,'İl-Bölge'!$A:$B,2,FALSE)</f>
        <v>Akdeniz</v>
      </c>
      <c r="E317" s="2"/>
    </row>
    <row r="318" spans="1:5" x14ac:dyDescent="0.25">
      <c r="A318">
        <v>2010</v>
      </c>
      <c r="B318" t="s">
        <v>173</v>
      </c>
      <c r="C318">
        <v>479221</v>
      </c>
      <c r="D318" s="2" t="str">
        <f>VLOOKUP(B318,'İl-Bölge'!$A:$B,2,FALSE)</f>
        <v>Akdeniz</v>
      </c>
      <c r="E318" s="2"/>
    </row>
    <row r="319" spans="1:5" x14ac:dyDescent="0.25">
      <c r="A319">
        <v>2020</v>
      </c>
      <c r="B319" t="s">
        <v>173</v>
      </c>
      <c r="C319">
        <v>548556</v>
      </c>
      <c r="D319" s="2" t="str">
        <f>VLOOKUP(B319,'İl-Bölge'!$A:$B,2,FALSE)</f>
        <v>Akdeniz</v>
      </c>
      <c r="E319" s="2"/>
    </row>
    <row r="320" spans="1:5" x14ac:dyDescent="0.25">
      <c r="A320">
        <v>2024</v>
      </c>
      <c r="B320" t="s">
        <v>173</v>
      </c>
      <c r="C320">
        <v>561061</v>
      </c>
      <c r="D320" s="2" t="str">
        <f>VLOOKUP(B320,'İl-Bölge'!$A:$B,2,FALSE)</f>
        <v>Akdeniz</v>
      </c>
      <c r="E320" s="2"/>
    </row>
    <row r="321" spans="1:5" x14ac:dyDescent="0.25">
      <c r="A321">
        <v>2025</v>
      </c>
      <c r="B321" t="s">
        <v>173</v>
      </c>
      <c r="C321">
        <v>564123</v>
      </c>
      <c r="D321" s="2" t="str">
        <f>VLOOKUP(B321,'İl-Bölge'!$A:$B,2,FALSE)</f>
        <v>Akdeniz</v>
      </c>
      <c r="E321" s="2"/>
    </row>
    <row r="322" spans="1:5" x14ac:dyDescent="0.25">
      <c r="A322">
        <v>2000</v>
      </c>
      <c r="B322" t="s">
        <v>146</v>
      </c>
      <c r="C322">
        <v>365938</v>
      </c>
      <c r="D322" s="2" t="str">
        <f>VLOOKUP(B322,'İl-Bölge'!$A:$B,2,FALSE)</f>
        <v>Karadeniz</v>
      </c>
      <c r="E322" s="2"/>
    </row>
    <row r="323" spans="1:5" x14ac:dyDescent="0.25">
      <c r="A323">
        <v>2010</v>
      </c>
      <c r="B323" t="s">
        <v>146</v>
      </c>
      <c r="C323">
        <v>319637</v>
      </c>
      <c r="D323" s="2" t="str">
        <f>VLOOKUP(B323,'İl-Bölge'!$A:$B,2,FALSE)</f>
        <v>Karadeniz</v>
      </c>
      <c r="E323" s="2"/>
    </row>
    <row r="324" spans="1:5" x14ac:dyDescent="0.25">
      <c r="A324">
        <v>2020</v>
      </c>
      <c r="B324" t="s">
        <v>146</v>
      </c>
      <c r="C324">
        <v>344359</v>
      </c>
      <c r="D324" s="2" t="str">
        <f>VLOOKUP(B324,'İl-Bölge'!$A:$B,2,FALSE)</f>
        <v>Karadeniz</v>
      </c>
      <c r="E324" s="2"/>
    </row>
    <row r="325" spans="1:5" x14ac:dyDescent="0.25">
      <c r="A325">
        <v>2024</v>
      </c>
      <c r="B325" t="s">
        <v>146</v>
      </c>
      <c r="C325">
        <v>346977</v>
      </c>
      <c r="D325" s="2" t="str">
        <f>VLOOKUP(B325,'İl-Bölge'!$A:$B,2,FALSE)</f>
        <v>Karadeniz</v>
      </c>
      <c r="E325" s="2"/>
    </row>
    <row r="326" spans="1:5" x14ac:dyDescent="0.25">
      <c r="A326">
        <v>2025</v>
      </c>
      <c r="B326" t="s">
        <v>146</v>
      </c>
      <c r="C326">
        <v>346947</v>
      </c>
      <c r="D326" s="2" t="str">
        <f>VLOOKUP(B326,'İl-Bölge'!$A:$B,2,FALSE)</f>
        <v>Karadeniz</v>
      </c>
      <c r="E326" s="2"/>
    </row>
    <row r="327" spans="1:5" x14ac:dyDescent="0.25">
      <c r="A327">
        <v>2000</v>
      </c>
      <c r="B327" t="s">
        <v>147</v>
      </c>
      <c r="C327">
        <v>756168</v>
      </c>
      <c r="D327" s="2" t="str">
        <f>VLOOKUP(B327,'İl-Bölge'!$A:$B,2,FALSE)</f>
        <v>Marmara</v>
      </c>
      <c r="E327" s="2"/>
    </row>
    <row r="328" spans="1:5" x14ac:dyDescent="0.25">
      <c r="A328">
        <v>2010</v>
      </c>
      <c r="B328" t="s">
        <v>147</v>
      </c>
      <c r="C328">
        <v>872872</v>
      </c>
      <c r="D328" s="2" t="str">
        <f>VLOOKUP(B328,'İl-Bölge'!$A:$B,2,FALSE)</f>
        <v>Marmara</v>
      </c>
      <c r="E328" s="2"/>
    </row>
    <row r="329" spans="1:5" x14ac:dyDescent="0.25">
      <c r="A329">
        <v>2020</v>
      </c>
      <c r="B329" t="s">
        <v>147</v>
      </c>
      <c r="C329">
        <v>1042649</v>
      </c>
      <c r="D329" s="2" t="str">
        <f>VLOOKUP(B329,'İl-Bölge'!$A:$B,2,FALSE)</f>
        <v>Marmara</v>
      </c>
      <c r="E329" s="2"/>
    </row>
    <row r="330" spans="1:5" x14ac:dyDescent="0.25">
      <c r="A330">
        <v>2024</v>
      </c>
      <c r="B330" t="s">
        <v>147</v>
      </c>
      <c r="C330">
        <v>1110735</v>
      </c>
      <c r="D330" s="2" t="str">
        <f>VLOOKUP(B330,'İl-Bölge'!$A:$B,2,FALSE)</f>
        <v>Marmara</v>
      </c>
      <c r="E330" s="2"/>
    </row>
    <row r="331" spans="1:5" x14ac:dyDescent="0.25">
      <c r="A331">
        <v>2025</v>
      </c>
      <c r="B331" t="s">
        <v>147</v>
      </c>
      <c r="C331">
        <v>1123693</v>
      </c>
      <c r="D331" s="2" t="str">
        <f>VLOOKUP(B331,'İl-Bölge'!$A:$B,2,FALSE)</f>
        <v>Marmara</v>
      </c>
      <c r="E331" s="2"/>
    </row>
    <row r="332" spans="1:5" x14ac:dyDescent="0.25">
      <c r="A332">
        <v>2000</v>
      </c>
      <c r="B332" t="s">
        <v>148</v>
      </c>
      <c r="C332">
        <v>1209137</v>
      </c>
      <c r="D332" s="2" t="str">
        <f>VLOOKUP(B332,'İl-Bölge'!$A:$B,2,FALSE)</f>
        <v>Karadeniz</v>
      </c>
      <c r="E332" s="2"/>
    </row>
    <row r="333" spans="1:5" x14ac:dyDescent="0.25">
      <c r="A333">
        <v>2010</v>
      </c>
      <c r="B333" t="s">
        <v>148</v>
      </c>
      <c r="C333">
        <v>1252693</v>
      </c>
      <c r="D333" s="2" t="str">
        <f>VLOOKUP(B333,'İl-Bölge'!$A:$B,2,FALSE)</f>
        <v>Karadeniz</v>
      </c>
      <c r="E333" s="2"/>
    </row>
    <row r="334" spans="1:5" x14ac:dyDescent="0.25">
      <c r="A334">
        <v>2020</v>
      </c>
      <c r="B334" t="s">
        <v>148</v>
      </c>
      <c r="C334">
        <v>1356079</v>
      </c>
      <c r="D334" s="2" t="str">
        <f>VLOOKUP(B334,'İl-Bölge'!$A:$B,2,FALSE)</f>
        <v>Karadeniz</v>
      </c>
      <c r="E334" s="2"/>
    </row>
    <row r="335" spans="1:5" x14ac:dyDescent="0.25">
      <c r="A335">
        <v>2024</v>
      </c>
      <c r="B335" t="s">
        <v>148</v>
      </c>
      <c r="C335">
        <v>1382376</v>
      </c>
      <c r="D335" s="2" t="str">
        <f>VLOOKUP(B335,'İl-Bölge'!$A:$B,2,FALSE)</f>
        <v>Karadeniz</v>
      </c>
      <c r="E335" s="2"/>
    </row>
    <row r="336" spans="1:5" x14ac:dyDescent="0.25">
      <c r="A336">
        <v>2025</v>
      </c>
      <c r="B336" t="s">
        <v>148</v>
      </c>
      <c r="C336">
        <v>1392403</v>
      </c>
      <c r="D336" s="2" t="str">
        <f>VLOOKUP(B336,'İl-Bölge'!$A:$B,2,FALSE)</f>
        <v>Karadeniz</v>
      </c>
      <c r="E336" s="2"/>
    </row>
    <row r="337" spans="1:5" ht="30" x14ac:dyDescent="0.25">
      <c r="A337">
        <v>2000</v>
      </c>
      <c r="B337" t="s">
        <v>149</v>
      </c>
      <c r="C337">
        <v>263676</v>
      </c>
      <c r="D337" s="2" t="str">
        <f>VLOOKUP(B337,'İl-Bölge'!$A:$B,2,FALSE)</f>
        <v>Güneydoğu Anadolu</v>
      </c>
      <c r="E337" s="2"/>
    </row>
    <row r="338" spans="1:5" ht="30" x14ac:dyDescent="0.25">
      <c r="A338">
        <v>2010</v>
      </c>
      <c r="B338" t="s">
        <v>149</v>
      </c>
      <c r="C338">
        <v>300695</v>
      </c>
      <c r="D338" s="2" t="str">
        <f>VLOOKUP(B338,'İl-Bölge'!$A:$B,2,FALSE)</f>
        <v>Güneydoğu Anadolu</v>
      </c>
      <c r="E338" s="2"/>
    </row>
    <row r="339" spans="1:5" ht="30" x14ac:dyDescent="0.25">
      <c r="A339">
        <v>2020</v>
      </c>
      <c r="B339" t="s">
        <v>149</v>
      </c>
      <c r="C339">
        <v>331070</v>
      </c>
      <c r="D339" s="2" t="str">
        <f>VLOOKUP(B339,'İl-Bölge'!$A:$B,2,FALSE)</f>
        <v>Güneydoğu Anadolu</v>
      </c>
      <c r="E339" s="2"/>
    </row>
    <row r="340" spans="1:5" ht="30" x14ac:dyDescent="0.25">
      <c r="A340">
        <v>2024</v>
      </c>
      <c r="B340" t="s">
        <v>149</v>
      </c>
      <c r="C340">
        <v>336453</v>
      </c>
      <c r="D340" s="2" t="str">
        <f>VLOOKUP(B340,'İl-Bölge'!$A:$B,2,FALSE)</f>
        <v>Güneydoğu Anadolu</v>
      </c>
      <c r="E340" s="2"/>
    </row>
    <row r="341" spans="1:5" ht="30" x14ac:dyDescent="0.25">
      <c r="A341">
        <v>2025</v>
      </c>
      <c r="B341" t="s">
        <v>149</v>
      </c>
      <c r="C341">
        <v>332369</v>
      </c>
      <c r="D341" s="2" t="str">
        <f>VLOOKUP(B341,'İl-Bölge'!$A:$B,2,FALSE)</f>
        <v>Güneydoğu Anadolu</v>
      </c>
      <c r="E341" s="2"/>
    </row>
    <row r="342" spans="1:5" x14ac:dyDescent="0.25">
      <c r="A342">
        <v>2000</v>
      </c>
      <c r="B342" t="s">
        <v>150</v>
      </c>
      <c r="C342">
        <v>225574</v>
      </c>
      <c r="D342" s="2" t="str">
        <f>VLOOKUP(B342,'İl-Bölge'!$A:$B,2,FALSE)</f>
        <v>Karadeniz</v>
      </c>
      <c r="E342" s="2"/>
    </row>
    <row r="343" spans="1:5" x14ac:dyDescent="0.25">
      <c r="A343">
        <v>2010</v>
      </c>
      <c r="B343" t="s">
        <v>150</v>
      </c>
      <c r="C343">
        <v>202740</v>
      </c>
      <c r="D343" s="2" t="str">
        <f>VLOOKUP(B343,'İl-Bölge'!$A:$B,2,FALSE)</f>
        <v>Karadeniz</v>
      </c>
      <c r="E343" s="2"/>
    </row>
    <row r="344" spans="1:5" x14ac:dyDescent="0.25">
      <c r="A344">
        <v>2020</v>
      </c>
      <c r="B344" t="s">
        <v>150</v>
      </c>
      <c r="C344">
        <v>216460</v>
      </c>
      <c r="D344" s="2" t="str">
        <f>VLOOKUP(B344,'İl-Bölge'!$A:$B,2,FALSE)</f>
        <v>Karadeniz</v>
      </c>
      <c r="E344" s="2"/>
    </row>
    <row r="345" spans="1:5" x14ac:dyDescent="0.25">
      <c r="A345">
        <v>2024</v>
      </c>
      <c r="B345" t="s">
        <v>150</v>
      </c>
      <c r="C345">
        <v>226957</v>
      </c>
      <c r="D345" s="2" t="str">
        <f>VLOOKUP(B345,'İl-Bölge'!$A:$B,2,FALSE)</f>
        <v>Karadeniz</v>
      </c>
      <c r="E345" s="2"/>
    </row>
    <row r="346" spans="1:5" x14ac:dyDescent="0.25">
      <c r="A346">
        <v>2025</v>
      </c>
      <c r="B346" t="s">
        <v>150</v>
      </c>
      <c r="C346">
        <v>225848</v>
      </c>
      <c r="D346" s="2" t="str">
        <f>VLOOKUP(B346,'İl-Bölge'!$A:$B,2,FALSE)</f>
        <v>Karadeniz</v>
      </c>
      <c r="E346" s="2"/>
    </row>
    <row r="347" spans="1:5" x14ac:dyDescent="0.25">
      <c r="A347">
        <v>2000</v>
      </c>
      <c r="B347" t="s">
        <v>151</v>
      </c>
      <c r="C347">
        <v>755091</v>
      </c>
      <c r="D347" s="2" t="str">
        <f>VLOOKUP(B347,'İl-Bölge'!$A:$B,2,FALSE)</f>
        <v>İç Anadolu</v>
      </c>
      <c r="E347" s="2"/>
    </row>
    <row r="348" spans="1:5" x14ac:dyDescent="0.25">
      <c r="A348">
        <v>2010</v>
      </c>
      <c r="B348" t="s">
        <v>151</v>
      </c>
      <c r="C348">
        <v>642224</v>
      </c>
      <c r="D348" s="2" t="str">
        <f>VLOOKUP(B348,'İl-Bölge'!$A:$B,2,FALSE)</f>
        <v>İç Anadolu</v>
      </c>
      <c r="E348" s="2"/>
    </row>
    <row r="349" spans="1:5" x14ac:dyDescent="0.25">
      <c r="A349">
        <v>2020</v>
      </c>
      <c r="B349" t="s">
        <v>151</v>
      </c>
      <c r="C349">
        <v>635889</v>
      </c>
      <c r="D349" s="2" t="str">
        <f>VLOOKUP(B349,'İl-Bölge'!$A:$B,2,FALSE)</f>
        <v>İç Anadolu</v>
      </c>
      <c r="E349" s="2"/>
    </row>
    <row r="350" spans="1:5" x14ac:dyDescent="0.25">
      <c r="A350">
        <v>2024</v>
      </c>
      <c r="B350" t="s">
        <v>151</v>
      </c>
      <c r="C350">
        <v>637007</v>
      </c>
      <c r="D350" s="2" t="str">
        <f>VLOOKUP(B350,'İl-Bölge'!$A:$B,2,FALSE)</f>
        <v>İç Anadolu</v>
      </c>
      <c r="E350" s="2"/>
    </row>
    <row r="351" spans="1:5" x14ac:dyDescent="0.25">
      <c r="A351">
        <v>2025</v>
      </c>
      <c r="B351" t="s">
        <v>151</v>
      </c>
      <c r="C351">
        <v>631401</v>
      </c>
      <c r="D351" s="2" t="str">
        <f>VLOOKUP(B351,'İl-Bölge'!$A:$B,2,FALSE)</f>
        <v>İç Anadolu</v>
      </c>
      <c r="E351" s="2"/>
    </row>
    <row r="352" spans="1:5" ht="30" x14ac:dyDescent="0.25">
      <c r="A352">
        <v>2000</v>
      </c>
      <c r="B352" t="s">
        <v>156</v>
      </c>
      <c r="C352">
        <v>1443422</v>
      </c>
      <c r="D352" s="2" t="str">
        <f>VLOOKUP(B352,'İl-Bölge'!$A:$B,2,FALSE)</f>
        <v>Güneydoğu Anadolu</v>
      </c>
      <c r="E352" s="2"/>
    </row>
    <row r="353" spans="1:5" ht="30" x14ac:dyDescent="0.25">
      <c r="A353">
        <v>2010</v>
      </c>
      <c r="B353" t="s">
        <v>156</v>
      </c>
      <c r="C353">
        <v>1663371</v>
      </c>
      <c r="D353" s="2" t="str">
        <f>VLOOKUP(B353,'İl-Bölge'!$A:$B,2,FALSE)</f>
        <v>Güneydoğu Anadolu</v>
      </c>
      <c r="E353" s="2"/>
    </row>
    <row r="354" spans="1:5" ht="30" x14ac:dyDescent="0.25">
      <c r="A354">
        <v>2020</v>
      </c>
      <c r="B354" t="s">
        <v>156</v>
      </c>
      <c r="C354">
        <v>2115256</v>
      </c>
      <c r="D354" s="2" t="str">
        <f>VLOOKUP(B354,'İl-Bölge'!$A:$B,2,FALSE)</f>
        <v>Güneydoğu Anadolu</v>
      </c>
      <c r="E354" s="2"/>
    </row>
    <row r="355" spans="1:5" ht="30" x14ac:dyDescent="0.25">
      <c r="A355">
        <v>2024</v>
      </c>
      <c r="B355" t="s">
        <v>156</v>
      </c>
      <c r="C355">
        <v>2237745</v>
      </c>
      <c r="D355" s="2" t="str">
        <f>VLOOKUP(B355,'İl-Bölge'!$A:$B,2,FALSE)</f>
        <v>Güneydoğu Anadolu</v>
      </c>
      <c r="E355" s="2"/>
    </row>
    <row r="356" spans="1:5" ht="30" x14ac:dyDescent="0.25">
      <c r="A356">
        <v>2025</v>
      </c>
      <c r="B356" t="s">
        <v>156</v>
      </c>
      <c r="C356">
        <v>2265800</v>
      </c>
      <c r="D356" s="2" t="str">
        <f>VLOOKUP(B356,'İl-Bölge'!$A:$B,2,FALSE)</f>
        <v>Güneydoğu Anadolu</v>
      </c>
      <c r="E356" s="2"/>
    </row>
    <row r="357" spans="1:5" ht="30" x14ac:dyDescent="0.25">
      <c r="A357">
        <v>2000</v>
      </c>
      <c r="B357" t="s">
        <v>166</v>
      </c>
      <c r="C357">
        <v>353197</v>
      </c>
      <c r="D357" s="2" t="str">
        <f>VLOOKUP(B357,'İl-Bölge'!$A:$B,2,FALSE)</f>
        <v>Güneydoğu Anadolu</v>
      </c>
      <c r="E357" s="2"/>
    </row>
    <row r="358" spans="1:5" ht="30" x14ac:dyDescent="0.25">
      <c r="A358">
        <v>2010</v>
      </c>
      <c r="B358" t="s">
        <v>166</v>
      </c>
      <c r="C358">
        <v>430109</v>
      </c>
      <c r="D358" s="2" t="str">
        <f>VLOOKUP(B358,'İl-Bölge'!$A:$B,2,FALSE)</f>
        <v>Güneydoğu Anadolu</v>
      </c>
      <c r="E358" s="2"/>
    </row>
    <row r="359" spans="1:5" ht="30" x14ac:dyDescent="0.25">
      <c r="A359">
        <v>2020</v>
      </c>
      <c r="B359" t="s">
        <v>166</v>
      </c>
      <c r="C359">
        <v>537762</v>
      </c>
      <c r="D359" s="2" t="str">
        <f>VLOOKUP(B359,'İl-Bölge'!$A:$B,2,FALSE)</f>
        <v>Güneydoğu Anadolu</v>
      </c>
      <c r="E359" s="2"/>
    </row>
    <row r="360" spans="1:5" ht="30" x14ac:dyDescent="0.25">
      <c r="A360">
        <v>2024</v>
      </c>
      <c r="B360" t="s">
        <v>166</v>
      </c>
      <c r="C360">
        <v>570826</v>
      </c>
      <c r="D360" s="2" t="str">
        <f>VLOOKUP(B360,'İl-Bölge'!$A:$B,2,FALSE)</f>
        <v>Güneydoğu Anadolu</v>
      </c>
      <c r="E360" s="2"/>
    </row>
    <row r="361" spans="1:5" ht="30" x14ac:dyDescent="0.25">
      <c r="A361">
        <v>2025</v>
      </c>
      <c r="B361" t="s">
        <v>166</v>
      </c>
      <c r="C361">
        <v>573666</v>
      </c>
      <c r="D361" s="2" t="str">
        <f>VLOOKUP(B361,'İl-Bölge'!$A:$B,2,FALSE)</f>
        <v>Güneydoğu Anadolu</v>
      </c>
      <c r="E361" s="2"/>
    </row>
    <row r="362" spans="1:5" x14ac:dyDescent="0.25">
      <c r="A362">
        <v>2000</v>
      </c>
      <c r="B362" t="s">
        <v>152</v>
      </c>
      <c r="C362">
        <v>623591</v>
      </c>
      <c r="D362" s="2" t="str">
        <f>VLOOKUP(B362,'İl-Bölge'!$A:$B,2,FALSE)</f>
        <v>Marmara</v>
      </c>
      <c r="E362" s="2"/>
    </row>
    <row r="363" spans="1:5" x14ac:dyDescent="0.25">
      <c r="A363">
        <v>2010</v>
      </c>
      <c r="B363" t="s">
        <v>152</v>
      </c>
      <c r="C363">
        <v>798109</v>
      </c>
      <c r="D363" s="2" t="str">
        <f>VLOOKUP(B363,'İl-Bölge'!$A:$B,2,FALSE)</f>
        <v>Marmara</v>
      </c>
      <c r="E363" s="2"/>
    </row>
    <row r="364" spans="1:5" x14ac:dyDescent="0.25">
      <c r="A364">
        <v>2020</v>
      </c>
      <c r="B364" t="s">
        <v>152</v>
      </c>
      <c r="C364">
        <v>1081065</v>
      </c>
      <c r="D364" s="2" t="str">
        <f>VLOOKUP(B364,'İl-Bölge'!$A:$B,2,FALSE)</f>
        <v>Marmara</v>
      </c>
      <c r="E364" s="2"/>
    </row>
    <row r="365" spans="1:5" x14ac:dyDescent="0.25">
      <c r="A365">
        <v>2024</v>
      </c>
      <c r="B365" t="s">
        <v>152</v>
      </c>
      <c r="C365">
        <v>1187162</v>
      </c>
      <c r="D365" s="2" t="str">
        <f>VLOOKUP(B365,'İl-Bölge'!$A:$B,2,FALSE)</f>
        <v>Marmara</v>
      </c>
      <c r="E365" s="2"/>
    </row>
    <row r="366" spans="1:5" x14ac:dyDescent="0.25">
      <c r="A366">
        <v>2025</v>
      </c>
      <c r="B366" t="s">
        <v>152</v>
      </c>
      <c r="C366">
        <v>1208441</v>
      </c>
      <c r="D366" s="2" t="str">
        <f>VLOOKUP(B366,'İl-Bölge'!$A:$B,2,FALSE)</f>
        <v>Marmara</v>
      </c>
      <c r="E366" s="2"/>
    </row>
    <row r="367" spans="1:5" x14ac:dyDescent="0.25">
      <c r="A367">
        <v>2000</v>
      </c>
      <c r="B367" t="s">
        <v>153</v>
      </c>
      <c r="C367">
        <v>828027</v>
      </c>
      <c r="D367" s="2" t="str">
        <f>VLOOKUP(B367,'İl-Bölge'!$A:$B,2,FALSE)</f>
        <v>Karadeniz</v>
      </c>
      <c r="E367" s="2"/>
    </row>
    <row r="368" spans="1:5" x14ac:dyDescent="0.25">
      <c r="A368">
        <v>2010</v>
      </c>
      <c r="B368" t="s">
        <v>153</v>
      </c>
      <c r="C368">
        <v>617802</v>
      </c>
      <c r="D368" s="2" t="str">
        <f>VLOOKUP(B368,'İl-Bölge'!$A:$B,2,FALSE)</f>
        <v>Karadeniz</v>
      </c>
      <c r="E368" s="2"/>
    </row>
    <row r="369" spans="1:5" x14ac:dyDescent="0.25">
      <c r="A369">
        <v>2020</v>
      </c>
      <c r="B369" t="s">
        <v>153</v>
      </c>
      <c r="C369">
        <v>597861</v>
      </c>
      <c r="D369" s="2" t="str">
        <f>VLOOKUP(B369,'İl-Bölge'!$A:$B,2,FALSE)</f>
        <v>Karadeniz</v>
      </c>
      <c r="E369" s="2"/>
    </row>
    <row r="370" spans="1:5" x14ac:dyDescent="0.25">
      <c r="A370">
        <v>2024</v>
      </c>
      <c r="B370" t="s">
        <v>153</v>
      </c>
      <c r="C370">
        <v>612674</v>
      </c>
      <c r="D370" s="2" t="str">
        <f>VLOOKUP(B370,'İl-Bölge'!$A:$B,2,FALSE)</f>
        <v>Karadeniz</v>
      </c>
      <c r="E370" s="2"/>
    </row>
    <row r="371" spans="1:5" x14ac:dyDescent="0.25">
      <c r="A371">
        <v>2025</v>
      </c>
      <c r="B371" t="s">
        <v>153</v>
      </c>
      <c r="C371">
        <v>614141</v>
      </c>
      <c r="D371" s="2" t="str">
        <f>VLOOKUP(B371,'İl-Bölge'!$A:$B,2,FALSE)</f>
        <v>Karadeniz</v>
      </c>
      <c r="E371" s="2"/>
    </row>
    <row r="372" spans="1:5" x14ac:dyDescent="0.25">
      <c r="A372">
        <v>2000</v>
      </c>
      <c r="B372" t="s">
        <v>154</v>
      </c>
      <c r="C372">
        <v>975137</v>
      </c>
      <c r="D372" s="2" t="str">
        <f>VLOOKUP(B372,'İl-Bölge'!$A:$B,2,FALSE)</f>
        <v>Karadeniz</v>
      </c>
      <c r="E372" s="2"/>
    </row>
    <row r="373" spans="1:5" x14ac:dyDescent="0.25">
      <c r="A373">
        <v>2010</v>
      </c>
      <c r="B373" t="s">
        <v>154</v>
      </c>
      <c r="C373">
        <v>763714</v>
      </c>
      <c r="D373" s="2" t="str">
        <f>VLOOKUP(B373,'İl-Bölge'!$A:$B,2,FALSE)</f>
        <v>Karadeniz</v>
      </c>
      <c r="E373" s="2"/>
    </row>
    <row r="374" spans="1:5" x14ac:dyDescent="0.25">
      <c r="A374">
        <v>2020</v>
      </c>
      <c r="B374" t="s">
        <v>154</v>
      </c>
      <c r="C374">
        <v>811901</v>
      </c>
      <c r="D374" s="2" t="str">
        <f>VLOOKUP(B374,'İl-Bölge'!$A:$B,2,FALSE)</f>
        <v>Karadeniz</v>
      </c>
      <c r="E374" s="2"/>
    </row>
    <row r="375" spans="1:5" x14ac:dyDescent="0.25">
      <c r="A375">
        <v>2024</v>
      </c>
      <c r="B375" t="s">
        <v>154</v>
      </c>
      <c r="C375">
        <v>822270</v>
      </c>
      <c r="D375" s="2" t="str">
        <f>VLOOKUP(B375,'İl-Bölge'!$A:$B,2,FALSE)</f>
        <v>Karadeniz</v>
      </c>
      <c r="E375" s="2"/>
    </row>
    <row r="376" spans="1:5" x14ac:dyDescent="0.25">
      <c r="A376">
        <v>2025</v>
      </c>
      <c r="B376" t="s">
        <v>154</v>
      </c>
      <c r="C376">
        <v>823323</v>
      </c>
      <c r="D376" s="2" t="str">
        <f>VLOOKUP(B376,'İl-Bölge'!$A:$B,2,FALSE)</f>
        <v>Karadeniz</v>
      </c>
      <c r="E376" s="2"/>
    </row>
    <row r="377" spans="1:5" x14ac:dyDescent="0.25">
      <c r="A377">
        <v>2000</v>
      </c>
      <c r="B377" t="s">
        <v>155</v>
      </c>
      <c r="C377">
        <v>93584</v>
      </c>
      <c r="D377" s="2" t="str">
        <f>VLOOKUP(B377,'İl-Bölge'!$A:$B,2,FALSE)</f>
        <v>Doğu Anadolu</v>
      </c>
      <c r="E377" s="2"/>
    </row>
    <row r="378" spans="1:5" x14ac:dyDescent="0.25">
      <c r="A378">
        <v>2010</v>
      </c>
      <c r="B378" t="s">
        <v>155</v>
      </c>
      <c r="C378">
        <v>76699</v>
      </c>
      <c r="D378" s="2" t="str">
        <f>VLOOKUP(B378,'İl-Bölge'!$A:$B,2,FALSE)</f>
        <v>Doğu Anadolu</v>
      </c>
      <c r="E378" s="2"/>
    </row>
    <row r="379" spans="1:5" x14ac:dyDescent="0.25">
      <c r="A379">
        <v>2020</v>
      </c>
      <c r="B379" t="s">
        <v>155</v>
      </c>
      <c r="C379">
        <v>83443</v>
      </c>
      <c r="D379" s="2" t="str">
        <f>VLOOKUP(B379,'İl-Bölge'!$A:$B,2,FALSE)</f>
        <v>Doğu Anadolu</v>
      </c>
      <c r="E379" s="2"/>
    </row>
    <row r="380" spans="1:5" x14ac:dyDescent="0.25">
      <c r="A380">
        <v>2024</v>
      </c>
      <c r="B380" t="s">
        <v>155</v>
      </c>
      <c r="C380">
        <v>86612</v>
      </c>
      <c r="D380" s="2" t="str">
        <f>VLOOKUP(B380,'İl-Bölge'!$A:$B,2,FALSE)</f>
        <v>Doğu Anadolu</v>
      </c>
      <c r="E380" s="2"/>
    </row>
    <row r="381" spans="1:5" x14ac:dyDescent="0.25">
      <c r="A381">
        <v>2025</v>
      </c>
      <c r="B381" t="s">
        <v>155</v>
      </c>
      <c r="C381">
        <v>85083</v>
      </c>
      <c r="D381" s="2" t="str">
        <f>VLOOKUP(B381,'İl-Bölge'!$A:$B,2,FALSE)</f>
        <v>Doğu Anadolu</v>
      </c>
      <c r="E381" s="2"/>
    </row>
    <row r="382" spans="1:5" x14ac:dyDescent="0.25">
      <c r="A382">
        <v>2000</v>
      </c>
      <c r="B382" t="s">
        <v>157</v>
      </c>
      <c r="C382">
        <v>322313</v>
      </c>
      <c r="D382" s="2" t="str">
        <f>VLOOKUP(B382,'İl-Bölge'!$A:$B,2,FALSE)</f>
        <v>Ege</v>
      </c>
      <c r="E382" s="2"/>
    </row>
    <row r="383" spans="1:5" x14ac:dyDescent="0.25">
      <c r="A383">
        <v>2010</v>
      </c>
      <c r="B383" t="s">
        <v>157</v>
      </c>
      <c r="C383">
        <v>338019</v>
      </c>
      <c r="D383" s="2" t="str">
        <f>VLOOKUP(B383,'İl-Bölge'!$A:$B,2,FALSE)</f>
        <v>Ege</v>
      </c>
      <c r="E383" s="2"/>
    </row>
    <row r="384" spans="1:5" x14ac:dyDescent="0.25">
      <c r="A384">
        <v>2020</v>
      </c>
      <c r="B384" t="s">
        <v>157</v>
      </c>
      <c r="C384">
        <v>369433</v>
      </c>
      <c r="D384" s="2" t="str">
        <f>VLOOKUP(B384,'İl-Bölge'!$A:$B,2,FALSE)</f>
        <v>Ege</v>
      </c>
      <c r="E384" s="2"/>
    </row>
    <row r="385" spans="1:5" x14ac:dyDescent="0.25">
      <c r="A385">
        <v>2024</v>
      </c>
      <c r="B385" t="s">
        <v>157</v>
      </c>
      <c r="C385">
        <v>375310</v>
      </c>
      <c r="D385" s="2" t="str">
        <f>VLOOKUP(B385,'İl-Bölge'!$A:$B,2,FALSE)</f>
        <v>Ege</v>
      </c>
      <c r="E385" s="2"/>
    </row>
    <row r="386" spans="1:5" x14ac:dyDescent="0.25">
      <c r="A386">
        <v>2025</v>
      </c>
      <c r="B386" t="s">
        <v>157</v>
      </c>
      <c r="C386">
        <v>374405</v>
      </c>
      <c r="D386" s="2" t="str">
        <f>VLOOKUP(B386,'İl-Bölge'!$A:$B,2,FALSE)</f>
        <v>Ege</v>
      </c>
      <c r="E386" s="2"/>
    </row>
    <row r="387" spans="1:5" x14ac:dyDescent="0.25">
      <c r="A387">
        <v>2000</v>
      </c>
      <c r="B387" t="s">
        <v>158</v>
      </c>
      <c r="C387">
        <v>877524</v>
      </c>
      <c r="D387" s="2" t="str">
        <f>VLOOKUP(B387,'İl-Bölge'!$A:$B,2,FALSE)</f>
        <v>Doğu Anadolu</v>
      </c>
      <c r="E387" s="2"/>
    </row>
    <row r="388" spans="1:5" x14ac:dyDescent="0.25">
      <c r="A388">
        <v>2010</v>
      </c>
      <c r="B388" t="s">
        <v>158</v>
      </c>
      <c r="C388">
        <v>1035418</v>
      </c>
      <c r="D388" s="2" t="str">
        <f>VLOOKUP(B388,'İl-Bölge'!$A:$B,2,FALSE)</f>
        <v>Doğu Anadolu</v>
      </c>
      <c r="E388" s="2"/>
    </row>
    <row r="389" spans="1:5" x14ac:dyDescent="0.25">
      <c r="A389">
        <v>2020</v>
      </c>
      <c r="B389" t="s">
        <v>158</v>
      </c>
      <c r="C389">
        <v>1149342</v>
      </c>
      <c r="D389" s="2" t="str">
        <f>VLOOKUP(B389,'İl-Bölge'!$A:$B,2,FALSE)</f>
        <v>Doğu Anadolu</v>
      </c>
      <c r="E389" s="2"/>
    </row>
    <row r="390" spans="1:5" x14ac:dyDescent="0.25">
      <c r="A390">
        <v>2024</v>
      </c>
      <c r="B390" t="s">
        <v>158</v>
      </c>
      <c r="C390">
        <v>1118087</v>
      </c>
      <c r="D390" s="2" t="str">
        <f>VLOOKUP(B390,'İl-Bölge'!$A:$B,2,FALSE)</f>
        <v>Doğu Anadolu</v>
      </c>
      <c r="E390" s="2"/>
    </row>
    <row r="391" spans="1:5" x14ac:dyDescent="0.25">
      <c r="A391">
        <v>2025</v>
      </c>
      <c r="B391" t="s">
        <v>158</v>
      </c>
      <c r="C391">
        <v>1112013</v>
      </c>
      <c r="D391" s="2" t="str">
        <f>VLOOKUP(B391,'İl-Bölge'!$A:$B,2,FALSE)</f>
        <v>Doğu Anadolu</v>
      </c>
      <c r="E391" s="2"/>
    </row>
    <row r="392" spans="1:5" x14ac:dyDescent="0.25">
      <c r="A392">
        <v>2000</v>
      </c>
      <c r="B392" t="s">
        <v>170</v>
      </c>
      <c r="C392">
        <v>168593</v>
      </c>
      <c r="D392" s="2" t="str">
        <f>VLOOKUP(B392,'İl-Bölge'!$A:$B,2,FALSE)</f>
        <v>Marmara</v>
      </c>
      <c r="E392" s="2"/>
    </row>
    <row r="393" spans="1:5" x14ac:dyDescent="0.25">
      <c r="A393">
        <v>2010</v>
      </c>
      <c r="B393" t="s">
        <v>170</v>
      </c>
      <c r="C393">
        <v>203741</v>
      </c>
      <c r="D393" s="2" t="str">
        <f>VLOOKUP(B393,'İl-Bölge'!$A:$B,2,FALSE)</f>
        <v>Marmara</v>
      </c>
      <c r="E393" s="2"/>
    </row>
    <row r="394" spans="1:5" x14ac:dyDescent="0.25">
      <c r="A394">
        <v>2020</v>
      </c>
      <c r="B394" t="s">
        <v>170</v>
      </c>
      <c r="C394">
        <v>276050</v>
      </c>
      <c r="D394" s="2" t="str">
        <f>VLOOKUP(B394,'İl-Bölge'!$A:$B,2,FALSE)</f>
        <v>Marmara</v>
      </c>
      <c r="E394" s="2"/>
    </row>
    <row r="395" spans="1:5" x14ac:dyDescent="0.25">
      <c r="A395">
        <v>2024</v>
      </c>
      <c r="B395" t="s">
        <v>170</v>
      </c>
      <c r="C395">
        <v>307882</v>
      </c>
      <c r="D395" s="2" t="str">
        <f>VLOOKUP(B395,'İl-Bölge'!$A:$B,2,FALSE)</f>
        <v>Marmara</v>
      </c>
      <c r="E395" s="2"/>
    </row>
    <row r="396" spans="1:5" x14ac:dyDescent="0.25">
      <c r="A396">
        <v>2025</v>
      </c>
      <c r="B396" t="s">
        <v>170</v>
      </c>
      <c r="C396">
        <v>311635</v>
      </c>
      <c r="D396" s="2" t="str">
        <f>VLOOKUP(B396,'İl-Bölge'!$A:$B,2,FALSE)</f>
        <v>Marmara</v>
      </c>
      <c r="E396" s="2"/>
    </row>
    <row r="397" spans="1:5" x14ac:dyDescent="0.25">
      <c r="A397">
        <v>2000</v>
      </c>
      <c r="B397" t="s">
        <v>159</v>
      </c>
      <c r="C397">
        <v>682919</v>
      </c>
      <c r="D397" s="2" t="str">
        <f>VLOOKUP(B397,'İl-Bölge'!$A:$B,2,FALSE)</f>
        <v>İç Anadolu</v>
      </c>
      <c r="E397" s="2"/>
    </row>
    <row r="398" spans="1:5" x14ac:dyDescent="0.25">
      <c r="A398">
        <v>2010</v>
      </c>
      <c r="B398" t="s">
        <v>159</v>
      </c>
      <c r="C398">
        <v>476096</v>
      </c>
      <c r="D398" s="2" t="str">
        <f>VLOOKUP(B398,'İl-Bölge'!$A:$B,2,FALSE)</f>
        <v>İç Anadolu</v>
      </c>
      <c r="E398" s="2"/>
    </row>
    <row r="399" spans="1:5" x14ac:dyDescent="0.25">
      <c r="A399">
        <v>2020</v>
      </c>
      <c r="B399" t="s">
        <v>159</v>
      </c>
      <c r="C399">
        <v>419095</v>
      </c>
      <c r="D399" s="2" t="str">
        <f>VLOOKUP(B399,'İl-Bölge'!$A:$B,2,FALSE)</f>
        <v>İç Anadolu</v>
      </c>
      <c r="E399" s="2"/>
    </row>
    <row r="400" spans="1:5" x14ac:dyDescent="0.25">
      <c r="A400">
        <v>2024</v>
      </c>
      <c r="B400" t="s">
        <v>159</v>
      </c>
      <c r="C400">
        <v>413161</v>
      </c>
      <c r="D400" s="2" t="str">
        <f>VLOOKUP(B400,'İl-Bölge'!$A:$B,2,FALSE)</f>
        <v>İç Anadolu</v>
      </c>
      <c r="E400" s="2"/>
    </row>
    <row r="401" spans="1:5" x14ac:dyDescent="0.25">
      <c r="A401">
        <v>2025</v>
      </c>
      <c r="B401" t="s">
        <v>159</v>
      </c>
      <c r="C401">
        <v>413208</v>
      </c>
      <c r="D401" s="2" t="str">
        <f>VLOOKUP(B401,'İl-Bölge'!$A:$B,2,FALSE)</f>
        <v>İç Anadolu</v>
      </c>
      <c r="E401" s="2"/>
    </row>
    <row r="402" spans="1:5" x14ac:dyDescent="0.25">
      <c r="A402">
        <v>2000</v>
      </c>
      <c r="B402" t="s">
        <v>160</v>
      </c>
      <c r="C402">
        <v>615599</v>
      </c>
      <c r="D402" s="2" t="str">
        <f>VLOOKUP(B402,'İl-Bölge'!$A:$B,2,FALSE)</f>
        <v>Karadeniz</v>
      </c>
      <c r="E402" s="2"/>
    </row>
    <row r="403" spans="1:5" x14ac:dyDescent="0.25">
      <c r="A403">
        <v>2010</v>
      </c>
      <c r="B403" t="s">
        <v>160</v>
      </c>
      <c r="C403">
        <v>619703</v>
      </c>
      <c r="D403" s="2" t="str">
        <f>VLOOKUP(B403,'İl-Bölge'!$A:$B,2,FALSE)</f>
        <v>Karadeniz</v>
      </c>
      <c r="E403" s="2"/>
    </row>
    <row r="404" spans="1:5" x14ac:dyDescent="0.25">
      <c r="A404">
        <v>2020</v>
      </c>
      <c r="B404" t="s">
        <v>160</v>
      </c>
      <c r="C404">
        <v>591204</v>
      </c>
      <c r="D404" s="2" t="str">
        <f>VLOOKUP(B404,'İl-Bölge'!$A:$B,2,FALSE)</f>
        <v>Karadeniz</v>
      </c>
      <c r="E404" s="2"/>
    </row>
    <row r="405" spans="1:5" x14ac:dyDescent="0.25">
      <c r="A405">
        <v>2024</v>
      </c>
      <c r="B405" t="s">
        <v>160</v>
      </c>
      <c r="C405">
        <v>586802</v>
      </c>
      <c r="D405" s="2" t="str">
        <f>VLOOKUP(B405,'İl-Bölge'!$A:$B,2,FALSE)</f>
        <v>Karadeniz</v>
      </c>
      <c r="E405" s="2"/>
    </row>
    <row r="406" spans="1:5" x14ac:dyDescent="0.25">
      <c r="A406">
        <v>2025</v>
      </c>
      <c r="B406" t="s">
        <v>160</v>
      </c>
      <c r="C406">
        <v>585203</v>
      </c>
      <c r="D406" s="2" t="str">
        <f>VLOOKUP(B406,'İl-Bölge'!$A:$B,2,FALSE)</f>
        <v>Karadeniz</v>
      </c>
      <c r="E406" s="2"/>
    </row>
    <row r="407" spans="1:5" x14ac:dyDescent="0.25">
      <c r="D407" s="2"/>
      <c r="E407" s="2"/>
    </row>
    <row r="408" spans="1:5" x14ac:dyDescent="0.25">
      <c r="D408" s="2"/>
      <c r="E408" s="2"/>
    </row>
    <row r="409" spans="1:5" x14ac:dyDescent="0.25">
      <c r="D409" s="2"/>
      <c r="E409" s="2"/>
    </row>
    <row r="410" spans="1:5" x14ac:dyDescent="0.25">
      <c r="D410" s="2"/>
      <c r="E410" s="2"/>
    </row>
    <row r="411" spans="1:5" x14ac:dyDescent="0.25">
      <c r="D411" s="2"/>
      <c r="E411" s="2"/>
    </row>
    <row r="412" spans="1:5" x14ac:dyDescent="0.25">
      <c r="D412" s="2"/>
      <c r="E412" s="2"/>
    </row>
    <row r="413" spans="1:5" x14ac:dyDescent="0.25">
      <c r="D413" s="2"/>
      <c r="E413" s="2"/>
    </row>
    <row r="414" spans="1:5" x14ac:dyDescent="0.25">
      <c r="D414" s="2"/>
      <c r="E414" s="2"/>
    </row>
    <row r="415" spans="1:5" x14ac:dyDescent="0.25">
      <c r="D415" s="2"/>
      <c r="E415" s="2"/>
    </row>
    <row r="416" spans="1:5" x14ac:dyDescent="0.25">
      <c r="D416" s="2"/>
      <c r="E416" s="2"/>
    </row>
    <row r="417" spans="4:5" x14ac:dyDescent="0.25">
      <c r="D417" s="2"/>
      <c r="E417" s="2"/>
    </row>
    <row r="418" spans="4:5" x14ac:dyDescent="0.25">
      <c r="D418" s="2"/>
      <c r="E418" s="2"/>
    </row>
    <row r="419" spans="4:5" x14ac:dyDescent="0.25">
      <c r="D419" s="2"/>
      <c r="E419" s="2"/>
    </row>
    <row r="420" spans="4:5" x14ac:dyDescent="0.25">
      <c r="D420" s="2"/>
      <c r="E420" s="2"/>
    </row>
    <row r="421" spans="4:5" x14ac:dyDescent="0.25">
      <c r="D421" s="2"/>
      <c r="E421" s="2"/>
    </row>
    <row r="422" spans="4:5" x14ac:dyDescent="0.25">
      <c r="D422" s="2"/>
      <c r="E422" s="2"/>
    </row>
    <row r="423" spans="4:5" x14ac:dyDescent="0.25">
      <c r="D423" s="2"/>
      <c r="E423" s="2"/>
    </row>
    <row r="424" spans="4:5" x14ac:dyDescent="0.25">
      <c r="D424" s="2"/>
      <c r="E424" s="2"/>
    </row>
    <row r="425" spans="4:5" x14ac:dyDescent="0.25">
      <c r="D425" s="2"/>
      <c r="E425" s="2"/>
    </row>
    <row r="426" spans="4:5" x14ac:dyDescent="0.25">
      <c r="D426" s="2"/>
      <c r="E426" s="2"/>
    </row>
    <row r="427" spans="4:5" x14ac:dyDescent="0.25">
      <c r="D427" s="2"/>
      <c r="E427" s="2"/>
    </row>
    <row r="428" spans="4:5" x14ac:dyDescent="0.25">
      <c r="D428" s="2"/>
      <c r="E428" s="2"/>
    </row>
    <row r="429" spans="4:5" x14ac:dyDescent="0.25">
      <c r="D429" s="2"/>
      <c r="E429" s="2"/>
    </row>
    <row r="430" spans="4:5" x14ac:dyDescent="0.25">
      <c r="D430" s="2"/>
      <c r="E430" s="2"/>
    </row>
    <row r="431" spans="4:5" x14ac:dyDescent="0.25">
      <c r="D431" s="2"/>
      <c r="E431" s="2"/>
    </row>
    <row r="432" spans="4:5" x14ac:dyDescent="0.25">
      <c r="D432" s="2"/>
      <c r="E432" s="2"/>
    </row>
    <row r="433" spans="4:5" x14ac:dyDescent="0.25">
      <c r="D433" s="2"/>
      <c r="E433" s="2"/>
    </row>
    <row r="434" spans="4:5" x14ac:dyDescent="0.25">
      <c r="D434" s="2"/>
      <c r="E434" s="2"/>
    </row>
    <row r="435" spans="4:5" x14ac:dyDescent="0.25">
      <c r="D435" s="2"/>
      <c r="E435" s="2"/>
    </row>
    <row r="436" spans="4:5" x14ac:dyDescent="0.25">
      <c r="D436" s="2"/>
      <c r="E436" s="2"/>
    </row>
    <row r="437" spans="4:5" x14ac:dyDescent="0.25">
      <c r="D437" s="2"/>
      <c r="E437" s="2"/>
    </row>
    <row r="438" spans="4:5" x14ac:dyDescent="0.25">
      <c r="D438" s="2"/>
      <c r="E438" s="2"/>
    </row>
    <row r="439" spans="4:5" x14ac:dyDescent="0.25">
      <c r="D439" s="2"/>
      <c r="E439" s="2"/>
    </row>
    <row r="440" spans="4:5" x14ac:dyDescent="0.25">
      <c r="D440" s="2"/>
      <c r="E440" s="2"/>
    </row>
    <row r="441" spans="4:5" x14ac:dyDescent="0.25">
      <c r="D441" s="2"/>
      <c r="E441" s="2"/>
    </row>
    <row r="442" spans="4:5" x14ac:dyDescent="0.25">
      <c r="D442" s="2"/>
      <c r="E442" s="2"/>
    </row>
    <row r="443" spans="4:5" x14ac:dyDescent="0.25">
      <c r="D443" s="2"/>
      <c r="E443" s="2"/>
    </row>
    <row r="444" spans="4:5" x14ac:dyDescent="0.25">
      <c r="D444" s="2"/>
      <c r="E444" s="2"/>
    </row>
    <row r="445" spans="4:5" x14ac:dyDescent="0.25">
      <c r="D445" s="2"/>
      <c r="E445" s="2"/>
    </row>
    <row r="446" spans="4:5" x14ac:dyDescent="0.25">
      <c r="D446" s="2"/>
      <c r="E446" s="2"/>
    </row>
    <row r="447" spans="4:5" x14ac:dyDescent="0.25">
      <c r="D447" s="2"/>
      <c r="E447" s="2"/>
    </row>
    <row r="448" spans="4:5" x14ac:dyDescent="0.25">
      <c r="D448" s="2"/>
      <c r="E448" s="2"/>
    </row>
    <row r="449" spans="4:5" x14ac:dyDescent="0.25">
      <c r="D449" s="2"/>
      <c r="E449" s="2"/>
    </row>
    <row r="450" spans="4:5" x14ac:dyDescent="0.25">
      <c r="D450" s="2"/>
      <c r="E450" s="2"/>
    </row>
    <row r="451" spans="4:5" x14ac:dyDescent="0.25">
      <c r="D451" s="2"/>
      <c r="E451" s="2"/>
    </row>
    <row r="452" spans="4:5" x14ac:dyDescent="0.25">
      <c r="D452" s="2"/>
      <c r="E452" s="2"/>
    </row>
    <row r="453" spans="4:5" x14ac:dyDescent="0.25">
      <c r="D453" s="2"/>
      <c r="E453" s="2"/>
    </row>
    <row r="454" spans="4:5" x14ac:dyDescent="0.25">
      <c r="D454" s="2"/>
      <c r="E454" s="2"/>
    </row>
    <row r="455" spans="4:5" x14ac:dyDescent="0.25">
      <c r="D455" s="2"/>
      <c r="E455" s="2"/>
    </row>
    <row r="456" spans="4:5" x14ac:dyDescent="0.25">
      <c r="D456" s="2"/>
      <c r="E456" s="2"/>
    </row>
    <row r="457" spans="4:5" x14ac:dyDescent="0.25">
      <c r="D457" s="2"/>
      <c r="E457" s="2"/>
    </row>
    <row r="458" spans="4:5" x14ac:dyDescent="0.25">
      <c r="D458" s="2"/>
      <c r="E458" s="2"/>
    </row>
    <row r="459" spans="4:5" x14ac:dyDescent="0.25">
      <c r="D459" s="2"/>
      <c r="E459" s="2"/>
    </row>
    <row r="460" spans="4:5" x14ac:dyDescent="0.25">
      <c r="D460" s="2"/>
      <c r="E460" s="2"/>
    </row>
    <row r="461" spans="4:5" x14ac:dyDescent="0.25">
      <c r="D461" s="2"/>
      <c r="E461" s="2"/>
    </row>
    <row r="462" spans="4:5" x14ac:dyDescent="0.25">
      <c r="D462" s="2"/>
      <c r="E462" s="2"/>
    </row>
    <row r="463" spans="4:5" x14ac:dyDescent="0.25">
      <c r="D463" s="2"/>
      <c r="E463" s="2"/>
    </row>
    <row r="464" spans="4:5" x14ac:dyDescent="0.25">
      <c r="D464" s="2"/>
      <c r="E464" s="2"/>
    </row>
    <row r="465" spans="4:5" x14ac:dyDescent="0.25">
      <c r="D465" s="2"/>
      <c r="E465" s="2"/>
    </row>
    <row r="466" spans="4:5" x14ac:dyDescent="0.25">
      <c r="D466" s="2"/>
      <c r="E466" s="2"/>
    </row>
    <row r="467" spans="4:5" x14ac:dyDescent="0.25">
      <c r="D467" s="2"/>
      <c r="E467" s="2"/>
    </row>
    <row r="468" spans="4:5" x14ac:dyDescent="0.25">
      <c r="D468" s="2"/>
      <c r="E468" s="2"/>
    </row>
    <row r="469" spans="4:5" x14ac:dyDescent="0.25">
      <c r="D469" s="2"/>
      <c r="E469" s="2"/>
    </row>
    <row r="470" spans="4:5" x14ac:dyDescent="0.25">
      <c r="D470" s="2"/>
      <c r="E470" s="2"/>
    </row>
    <row r="471" spans="4:5" x14ac:dyDescent="0.25">
      <c r="D471" s="2"/>
      <c r="E471" s="2"/>
    </row>
    <row r="472" spans="4:5" x14ac:dyDescent="0.25">
      <c r="D472" s="2"/>
      <c r="E472" s="2"/>
    </row>
    <row r="473" spans="4:5" x14ac:dyDescent="0.25">
      <c r="D473" s="2"/>
      <c r="E473" s="2"/>
    </row>
    <row r="474" spans="4:5" x14ac:dyDescent="0.25">
      <c r="D474" s="2"/>
      <c r="E474" s="2"/>
    </row>
    <row r="475" spans="4:5" x14ac:dyDescent="0.25">
      <c r="D475" s="2"/>
      <c r="E475" s="2"/>
    </row>
    <row r="476" spans="4:5" x14ac:dyDescent="0.25">
      <c r="D476" s="2"/>
      <c r="E476" s="2"/>
    </row>
    <row r="477" spans="4:5" x14ac:dyDescent="0.25">
      <c r="D477" s="2"/>
      <c r="E477" s="2"/>
    </row>
    <row r="478" spans="4:5" x14ac:dyDescent="0.25">
      <c r="D478" s="2"/>
      <c r="E478" s="2"/>
    </row>
    <row r="479" spans="4:5" x14ac:dyDescent="0.25">
      <c r="D479" s="2"/>
      <c r="E479" s="2"/>
    </row>
    <row r="480" spans="4:5" x14ac:dyDescent="0.25">
      <c r="D480" s="2"/>
      <c r="E480" s="2"/>
    </row>
    <row r="481" spans="4:5" x14ac:dyDescent="0.25">
      <c r="D481" s="2"/>
      <c r="E481" s="2"/>
    </row>
    <row r="482" spans="4:5" x14ac:dyDescent="0.25">
      <c r="D482" s="2"/>
      <c r="E482" s="2"/>
    </row>
    <row r="483" spans="4:5" x14ac:dyDescent="0.25">
      <c r="D483" s="2"/>
      <c r="E483" s="2"/>
    </row>
    <row r="484" spans="4:5" x14ac:dyDescent="0.25">
      <c r="D484" s="2"/>
      <c r="E484" s="2"/>
    </row>
    <row r="485" spans="4:5" x14ac:dyDescent="0.25">
      <c r="D485" s="2"/>
      <c r="E485" s="2"/>
    </row>
    <row r="486" spans="4:5" x14ac:dyDescent="0.25">
      <c r="D486" s="2"/>
      <c r="E486" s="2"/>
    </row>
    <row r="487" spans="4:5" x14ac:dyDescent="0.25">
      <c r="D487" s="2"/>
      <c r="E487" s="2"/>
    </row>
    <row r="488" spans="4:5" x14ac:dyDescent="0.25">
      <c r="D488" s="2"/>
      <c r="E488" s="2"/>
    </row>
    <row r="489" spans="4:5" x14ac:dyDescent="0.25">
      <c r="D489" s="2"/>
      <c r="E489" s="2"/>
    </row>
    <row r="490" spans="4:5" x14ac:dyDescent="0.25">
      <c r="D490" s="2"/>
      <c r="E490" s="2"/>
    </row>
    <row r="491" spans="4:5" x14ac:dyDescent="0.25">
      <c r="D491" s="2"/>
      <c r="E491" s="2"/>
    </row>
    <row r="492" spans="4:5" x14ac:dyDescent="0.25">
      <c r="D492" s="2"/>
      <c r="E492" s="2"/>
    </row>
    <row r="493" spans="4:5" x14ac:dyDescent="0.25">
      <c r="D493" s="2"/>
      <c r="E493" s="2"/>
    </row>
    <row r="494" spans="4:5" x14ac:dyDescent="0.25">
      <c r="D494" s="2"/>
      <c r="E494" s="2"/>
    </row>
    <row r="495" spans="4:5" x14ac:dyDescent="0.25">
      <c r="D495" s="2"/>
      <c r="E495" s="2"/>
    </row>
    <row r="496" spans="4:5" x14ac:dyDescent="0.25">
      <c r="D496" s="2"/>
      <c r="E496" s="2"/>
    </row>
    <row r="497" spans="4:5" x14ac:dyDescent="0.25">
      <c r="D497" s="2"/>
      <c r="E497" s="2"/>
    </row>
    <row r="498" spans="4:5" x14ac:dyDescent="0.25">
      <c r="D498" s="2"/>
      <c r="E498" s="2"/>
    </row>
    <row r="499" spans="4:5" x14ac:dyDescent="0.25">
      <c r="D499" s="2"/>
      <c r="E499" s="2"/>
    </row>
    <row r="500" spans="4:5" x14ac:dyDescent="0.25">
      <c r="D500" s="2"/>
      <c r="E500" s="2"/>
    </row>
    <row r="501" spans="4:5" x14ac:dyDescent="0.25">
      <c r="D501" s="2"/>
      <c r="E501" s="2"/>
    </row>
    <row r="502" spans="4:5" x14ac:dyDescent="0.25">
      <c r="D502" s="2"/>
      <c r="E502" s="2"/>
    </row>
    <row r="503" spans="4:5" x14ac:dyDescent="0.25">
      <c r="D503" s="2"/>
      <c r="E503" s="2"/>
    </row>
    <row r="504" spans="4:5" x14ac:dyDescent="0.25">
      <c r="D504" s="2"/>
      <c r="E504" s="2"/>
    </row>
    <row r="505" spans="4:5" x14ac:dyDescent="0.25">
      <c r="D505" s="2"/>
      <c r="E505" s="2"/>
    </row>
    <row r="506" spans="4:5" x14ac:dyDescent="0.25">
      <c r="D506" s="2"/>
      <c r="E506" s="2"/>
    </row>
    <row r="507" spans="4:5" x14ac:dyDescent="0.25">
      <c r="D507" s="2"/>
      <c r="E507" s="2"/>
    </row>
    <row r="508" spans="4:5" x14ac:dyDescent="0.25">
      <c r="D508" s="2"/>
      <c r="E508" s="2"/>
    </row>
    <row r="509" spans="4:5" x14ac:dyDescent="0.25">
      <c r="D509" s="2"/>
      <c r="E509" s="2"/>
    </row>
    <row r="510" spans="4:5" x14ac:dyDescent="0.25">
      <c r="D510" s="2"/>
      <c r="E510" s="2"/>
    </row>
    <row r="511" spans="4:5" x14ac:dyDescent="0.25">
      <c r="D511" s="2"/>
      <c r="E511" s="2"/>
    </row>
    <row r="512" spans="4:5" x14ac:dyDescent="0.25">
      <c r="D512" s="2"/>
      <c r="E512" s="2"/>
    </row>
    <row r="513" spans="4:5" x14ac:dyDescent="0.25">
      <c r="D513" s="2"/>
      <c r="E513" s="2"/>
    </row>
    <row r="514" spans="4:5" x14ac:dyDescent="0.25">
      <c r="D514" s="2"/>
      <c r="E514" s="2"/>
    </row>
    <row r="515" spans="4:5" x14ac:dyDescent="0.25">
      <c r="D515" s="2"/>
      <c r="E515" s="2"/>
    </row>
    <row r="516" spans="4:5" x14ac:dyDescent="0.25">
      <c r="D516" s="2"/>
      <c r="E516" s="2"/>
    </row>
    <row r="517" spans="4:5" x14ac:dyDescent="0.25">
      <c r="D517" s="2"/>
      <c r="E517" s="2"/>
    </row>
    <row r="518" spans="4:5" x14ac:dyDescent="0.25">
      <c r="D518" s="2"/>
      <c r="E518" s="2"/>
    </row>
    <row r="519" spans="4:5" x14ac:dyDescent="0.25">
      <c r="D519" s="2"/>
      <c r="E519" s="2"/>
    </row>
    <row r="520" spans="4:5" x14ac:dyDescent="0.25">
      <c r="D520" s="2"/>
      <c r="E520" s="2"/>
    </row>
    <row r="521" spans="4:5" x14ac:dyDescent="0.25">
      <c r="D521" s="2"/>
      <c r="E521" s="2"/>
    </row>
    <row r="522" spans="4:5" x14ac:dyDescent="0.25">
      <c r="D522" s="2"/>
      <c r="E522" s="2"/>
    </row>
    <row r="523" spans="4:5" x14ac:dyDescent="0.25">
      <c r="D523" s="2"/>
      <c r="E523" s="2"/>
    </row>
    <row r="524" spans="4:5" x14ac:dyDescent="0.25">
      <c r="D524" s="2"/>
      <c r="E524" s="2"/>
    </row>
    <row r="525" spans="4:5" x14ac:dyDescent="0.25">
      <c r="D525" s="2"/>
      <c r="E525" s="2"/>
    </row>
    <row r="526" spans="4:5" x14ac:dyDescent="0.25">
      <c r="D526" s="2"/>
      <c r="E526" s="2"/>
    </row>
    <row r="527" spans="4:5" x14ac:dyDescent="0.25">
      <c r="D527" s="2"/>
      <c r="E527" s="2"/>
    </row>
    <row r="528" spans="4:5" x14ac:dyDescent="0.25">
      <c r="D528" s="2"/>
      <c r="E528" s="2"/>
    </row>
    <row r="529" spans="4:5" x14ac:dyDescent="0.25">
      <c r="D529" s="2"/>
      <c r="E529" s="2"/>
    </row>
    <row r="530" spans="4:5" x14ac:dyDescent="0.25">
      <c r="D530" s="2"/>
      <c r="E530" s="2"/>
    </row>
    <row r="531" spans="4:5" x14ac:dyDescent="0.25">
      <c r="D531" s="2"/>
      <c r="E531" s="2"/>
    </row>
    <row r="532" spans="4:5" x14ac:dyDescent="0.25">
      <c r="D532" s="2"/>
      <c r="E532" s="2"/>
    </row>
    <row r="533" spans="4:5" x14ac:dyDescent="0.25">
      <c r="D533" s="2"/>
      <c r="E533" s="2"/>
    </row>
    <row r="534" spans="4:5" x14ac:dyDescent="0.25">
      <c r="D534" s="2"/>
      <c r="E534" s="2"/>
    </row>
    <row r="535" spans="4:5" x14ac:dyDescent="0.25">
      <c r="D535" s="2"/>
      <c r="E535" s="2"/>
    </row>
    <row r="536" spans="4:5" x14ac:dyDescent="0.25">
      <c r="D536" s="2"/>
      <c r="E536" s="2"/>
    </row>
    <row r="537" spans="4:5" x14ac:dyDescent="0.25">
      <c r="D537" s="2"/>
      <c r="E537" s="2"/>
    </row>
    <row r="538" spans="4:5" x14ac:dyDescent="0.25">
      <c r="D538" s="2"/>
      <c r="E538" s="2"/>
    </row>
    <row r="539" spans="4:5" x14ac:dyDescent="0.25">
      <c r="D539" s="2"/>
      <c r="E539" s="2"/>
    </row>
    <row r="540" spans="4:5" x14ac:dyDescent="0.25">
      <c r="D540" s="2"/>
      <c r="E540" s="2"/>
    </row>
    <row r="541" spans="4:5" x14ac:dyDescent="0.25">
      <c r="D541" s="2"/>
      <c r="E541" s="2"/>
    </row>
    <row r="542" spans="4:5" x14ac:dyDescent="0.25">
      <c r="D542" s="2"/>
      <c r="E542" s="2"/>
    </row>
    <row r="543" spans="4:5" x14ac:dyDescent="0.25">
      <c r="D543" s="2"/>
      <c r="E543" s="2"/>
    </row>
    <row r="544" spans="4:5" x14ac:dyDescent="0.25">
      <c r="D544" s="2"/>
      <c r="E544" s="2"/>
    </row>
    <row r="545" spans="4:5" x14ac:dyDescent="0.25">
      <c r="D545" s="2"/>
      <c r="E545" s="2"/>
    </row>
    <row r="546" spans="4:5" x14ac:dyDescent="0.25">
      <c r="D546" s="2"/>
      <c r="E546" s="2"/>
    </row>
    <row r="547" spans="4:5" x14ac:dyDescent="0.25">
      <c r="D547" s="2"/>
      <c r="E547" s="2"/>
    </row>
    <row r="548" spans="4:5" x14ac:dyDescent="0.25">
      <c r="D548" s="2"/>
      <c r="E548" s="2"/>
    </row>
    <row r="549" spans="4:5" x14ac:dyDescent="0.25">
      <c r="D549" s="2"/>
      <c r="E549" s="2"/>
    </row>
    <row r="550" spans="4:5" x14ac:dyDescent="0.25">
      <c r="D550" s="2"/>
      <c r="E550" s="2"/>
    </row>
    <row r="551" spans="4:5" x14ac:dyDescent="0.25">
      <c r="D551" s="2"/>
      <c r="E551" s="2"/>
    </row>
    <row r="552" spans="4:5" x14ac:dyDescent="0.25">
      <c r="D552" s="2"/>
      <c r="E552" s="2"/>
    </row>
    <row r="553" spans="4:5" x14ac:dyDescent="0.25">
      <c r="D553" s="2"/>
      <c r="E553" s="2"/>
    </row>
    <row r="554" spans="4:5" x14ac:dyDescent="0.25">
      <c r="D554" s="2"/>
      <c r="E554" s="2"/>
    </row>
    <row r="555" spans="4:5" x14ac:dyDescent="0.25">
      <c r="D555" s="2"/>
      <c r="E555" s="2"/>
    </row>
    <row r="556" spans="4:5" x14ac:dyDescent="0.25">
      <c r="D556" s="2"/>
      <c r="E556" s="2"/>
    </row>
    <row r="557" spans="4:5" x14ac:dyDescent="0.25">
      <c r="D557" s="2"/>
      <c r="E557" s="2"/>
    </row>
    <row r="558" spans="4:5" x14ac:dyDescent="0.25">
      <c r="D558" s="2"/>
      <c r="E558" s="2"/>
    </row>
    <row r="559" spans="4:5" x14ac:dyDescent="0.25">
      <c r="D559" s="2"/>
      <c r="E559" s="2"/>
    </row>
    <row r="560" spans="4:5" x14ac:dyDescent="0.25">
      <c r="D560" s="2"/>
      <c r="E560" s="2"/>
    </row>
    <row r="561" spans="4:5" x14ac:dyDescent="0.25">
      <c r="D561" s="2"/>
      <c r="E561" s="2"/>
    </row>
    <row r="562" spans="4:5" x14ac:dyDescent="0.25">
      <c r="D562" s="2"/>
      <c r="E562" s="2"/>
    </row>
    <row r="563" spans="4:5" x14ac:dyDescent="0.25">
      <c r="D563" s="2"/>
      <c r="E563" s="2"/>
    </row>
    <row r="564" spans="4:5" x14ac:dyDescent="0.25">
      <c r="D564" s="2"/>
      <c r="E564" s="2"/>
    </row>
    <row r="565" spans="4:5" x14ac:dyDescent="0.25">
      <c r="D565" s="2"/>
      <c r="E565" s="2"/>
    </row>
    <row r="566" spans="4:5" x14ac:dyDescent="0.25">
      <c r="D566" s="2"/>
      <c r="E566" s="2"/>
    </row>
    <row r="567" spans="4:5" x14ac:dyDescent="0.25">
      <c r="D567" s="2"/>
      <c r="E567" s="2"/>
    </row>
    <row r="568" spans="4:5" x14ac:dyDescent="0.25">
      <c r="D568" s="2"/>
      <c r="E568" s="2"/>
    </row>
    <row r="569" spans="4:5" x14ac:dyDescent="0.25">
      <c r="D569" s="2"/>
      <c r="E569" s="2"/>
    </row>
    <row r="570" spans="4:5" x14ac:dyDescent="0.25">
      <c r="D570" s="2"/>
      <c r="E570" s="2"/>
    </row>
    <row r="571" spans="4:5" x14ac:dyDescent="0.25">
      <c r="D571" s="2"/>
      <c r="E571" s="2"/>
    </row>
    <row r="572" spans="4:5" x14ac:dyDescent="0.25">
      <c r="D572" s="2"/>
      <c r="E572" s="2"/>
    </row>
    <row r="573" spans="4:5" x14ac:dyDescent="0.25">
      <c r="D573" s="2"/>
      <c r="E573" s="2"/>
    </row>
    <row r="574" spans="4:5" x14ac:dyDescent="0.25">
      <c r="D574" s="2"/>
      <c r="E574" s="2"/>
    </row>
    <row r="575" spans="4:5" x14ac:dyDescent="0.25">
      <c r="D575" s="2"/>
      <c r="E575" s="2"/>
    </row>
    <row r="576" spans="4:5" x14ac:dyDescent="0.25">
      <c r="D576" s="2"/>
      <c r="E576" s="2"/>
    </row>
    <row r="577" spans="4:5" x14ac:dyDescent="0.25">
      <c r="D577" s="2"/>
      <c r="E577" s="2"/>
    </row>
    <row r="578" spans="4:5" x14ac:dyDescent="0.25">
      <c r="D578" s="2"/>
      <c r="E578" s="2"/>
    </row>
    <row r="579" spans="4:5" x14ac:dyDescent="0.25">
      <c r="D579" s="2"/>
      <c r="E579" s="2"/>
    </row>
    <row r="580" spans="4:5" x14ac:dyDescent="0.25">
      <c r="D580" s="2"/>
      <c r="E580" s="2"/>
    </row>
    <row r="581" spans="4:5" x14ac:dyDescent="0.25">
      <c r="D581" s="2"/>
      <c r="E581" s="2"/>
    </row>
    <row r="582" spans="4:5" x14ac:dyDescent="0.25">
      <c r="D582" s="2"/>
      <c r="E582" s="2"/>
    </row>
    <row r="583" spans="4:5" x14ac:dyDescent="0.25">
      <c r="D583" s="2"/>
      <c r="E583" s="2"/>
    </row>
    <row r="584" spans="4:5" x14ac:dyDescent="0.25">
      <c r="D584" s="2"/>
      <c r="E584" s="2"/>
    </row>
    <row r="585" spans="4:5" x14ac:dyDescent="0.25">
      <c r="D585" s="2"/>
      <c r="E585" s="2"/>
    </row>
    <row r="586" spans="4:5" x14ac:dyDescent="0.25">
      <c r="D586" s="2"/>
      <c r="E586" s="2"/>
    </row>
    <row r="587" spans="4:5" x14ac:dyDescent="0.25">
      <c r="D587" s="2"/>
      <c r="E587" s="2"/>
    </row>
    <row r="588" spans="4:5" x14ac:dyDescent="0.25">
      <c r="D588" s="2"/>
      <c r="E588" s="2"/>
    </row>
    <row r="589" spans="4:5" x14ac:dyDescent="0.25">
      <c r="D589" s="2"/>
      <c r="E589" s="2"/>
    </row>
    <row r="590" spans="4:5" x14ac:dyDescent="0.25">
      <c r="D590" s="2"/>
      <c r="E590" s="2"/>
    </row>
    <row r="591" spans="4:5" x14ac:dyDescent="0.25">
      <c r="D591" s="2"/>
      <c r="E591" s="2"/>
    </row>
    <row r="592" spans="4:5" x14ac:dyDescent="0.25">
      <c r="D592" s="2"/>
      <c r="E592" s="2"/>
    </row>
    <row r="593" spans="4:5" x14ac:dyDescent="0.25">
      <c r="D593" s="2"/>
      <c r="E593" s="2"/>
    </row>
    <row r="594" spans="4:5" x14ac:dyDescent="0.25">
      <c r="D594" s="2"/>
      <c r="E594" s="2"/>
    </row>
    <row r="595" spans="4:5" x14ac:dyDescent="0.25">
      <c r="D595" s="2"/>
      <c r="E595" s="2"/>
    </row>
    <row r="596" spans="4:5" x14ac:dyDescent="0.25">
      <c r="D596" s="2"/>
      <c r="E596" s="2"/>
    </row>
    <row r="597" spans="4:5" x14ac:dyDescent="0.25">
      <c r="D597" s="2"/>
      <c r="E597" s="2"/>
    </row>
    <row r="598" spans="4:5" x14ac:dyDescent="0.25">
      <c r="D598" s="2"/>
      <c r="E598" s="2"/>
    </row>
    <row r="599" spans="4:5" x14ac:dyDescent="0.25">
      <c r="D599" s="2"/>
      <c r="E599" s="2"/>
    </row>
    <row r="600" spans="4:5" x14ac:dyDescent="0.25">
      <c r="D600" s="2"/>
      <c r="E600" s="2"/>
    </row>
    <row r="601" spans="4:5" x14ac:dyDescent="0.25">
      <c r="D601" s="2"/>
      <c r="E601" s="2"/>
    </row>
    <row r="602" spans="4:5" x14ac:dyDescent="0.25">
      <c r="D602" s="2"/>
      <c r="E602" s="2"/>
    </row>
    <row r="603" spans="4:5" x14ac:dyDescent="0.25">
      <c r="D603" s="2"/>
      <c r="E603" s="2"/>
    </row>
    <row r="604" spans="4:5" x14ac:dyDescent="0.25">
      <c r="D604" s="2"/>
      <c r="E604" s="2"/>
    </row>
    <row r="605" spans="4:5" x14ac:dyDescent="0.25">
      <c r="D605" s="2"/>
      <c r="E605" s="2"/>
    </row>
    <row r="606" spans="4:5" x14ac:dyDescent="0.25">
      <c r="D606" s="2"/>
      <c r="E606" s="2"/>
    </row>
    <row r="607" spans="4:5" x14ac:dyDescent="0.25">
      <c r="D607" s="2"/>
      <c r="E607" s="2"/>
    </row>
    <row r="608" spans="4:5" x14ac:dyDescent="0.25">
      <c r="D608" s="2"/>
      <c r="E608" s="2"/>
    </row>
    <row r="609" spans="4:5" x14ac:dyDescent="0.25">
      <c r="D609" s="2"/>
      <c r="E609" s="2"/>
    </row>
    <row r="610" spans="4:5" x14ac:dyDescent="0.25">
      <c r="D610" s="2"/>
      <c r="E610" s="2"/>
    </row>
    <row r="611" spans="4:5" x14ac:dyDescent="0.25">
      <c r="D611" s="2"/>
      <c r="E611" s="2"/>
    </row>
    <row r="612" spans="4:5" x14ac:dyDescent="0.25">
      <c r="D612" s="2"/>
      <c r="E612" s="2"/>
    </row>
    <row r="613" spans="4:5" x14ac:dyDescent="0.25">
      <c r="D613" s="2"/>
      <c r="E613" s="2"/>
    </row>
    <row r="614" spans="4:5" x14ac:dyDescent="0.25">
      <c r="D614" s="2"/>
      <c r="E614" s="2"/>
    </row>
    <row r="615" spans="4:5" x14ac:dyDescent="0.25">
      <c r="D615" s="2"/>
      <c r="E615" s="2"/>
    </row>
    <row r="616" spans="4:5" x14ac:dyDescent="0.25">
      <c r="D616" s="2"/>
      <c r="E616" s="2"/>
    </row>
    <row r="617" spans="4:5" x14ac:dyDescent="0.25">
      <c r="D617" s="2"/>
      <c r="E617" s="2"/>
    </row>
    <row r="618" spans="4:5" x14ac:dyDescent="0.25">
      <c r="D618" s="2"/>
      <c r="E618" s="2"/>
    </row>
    <row r="619" spans="4:5" x14ac:dyDescent="0.25">
      <c r="D619" s="2"/>
      <c r="E619" s="2"/>
    </row>
    <row r="620" spans="4:5" x14ac:dyDescent="0.25">
      <c r="D620" s="2"/>
      <c r="E620" s="2"/>
    </row>
    <row r="621" spans="4:5" x14ac:dyDescent="0.25">
      <c r="D621" s="2"/>
      <c r="E621" s="2"/>
    </row>
    <row r="622" spans="4:5" x14ac:dyDescent="0.25">
      <c r="D622" s="2"/>
      <c r="E622" s="2"/>
    </row>
    <row r="623" spans="4:5" x14ac:dyDescent="0.25">
      <c r="D623" s="2"/>
      <c r="E623" s="2"/>
    </row>
    <row r="624" spans="4:5" x14ac:dyDescent="0.25">
      <c r="D624" s="2"/>
      <c r="E624" s="2"/>
    </row>
    <row r="625" spans="4:5" x14ac:dyDescent="0.25">
      <c r="D625" s="2"/>
      <c r="E625" s="2"/>
    </row>
    <row r="626" spans="4:5" x14ac:dyDescent="0.25">
      <c r="D626" s="2"/>
      <c r="E626" s="2"/>
    </row>
    <row r="627" spans="4:5" x14ac:dyDescent="0.25">
      <c r="D627" s="2"/>
      <c r="E627" s="2"/>
    </row>
    <row r="628" spans="4:5" x14ac:dyDescent="0.25">
      <c r="D628" s="2"/>
      <c r="E628" s="2"/>
    </row>
    <row r="629" spans="4:5" x14ac:dyDescent="0.25">
      <c r="D629" s="2"/>
      <c r="E629" s="2"/>
    </row>
    <row r="630" spans="4:5" x14ac:dyDescent="0.25">
      <c r="D630" s="2"/>
      <c r="E630" s="2"/>
    </row>
    <row r="631" spans="4:5" x14ac:dyDescent="0.25">
      <c r="D631" s="2"/>
      <c r="E631" s="2"/>
    </row>
    <row r="632" spans="4:5" x14ac:dyDescent="0.25">
      <c r="D632" s="2"/>
      <c r="E632" s="2"/>
    </row>
    <row r="633" spans="4:5" x14ac:dyDescent="0.25">
      <c r="D633" s="2"/>
      <c r="E633" s="2"/>
    </row>
    <row r="634" spans="4:5" x14ac:dyDescent="0.25">
      <c r="D634" s="2"/>
      <c r="E634" s="2"/>
    </row>
    <row r="635" spans="4:5" x14ac:dyDescent="0.25">
      <c r="D635" s="2"/>
      <c r="E635" s="2"/>
    </row>
    <row r="636" spans="4:5" x14ac:dyDescent="0.25">
      <c r="D636" s="2"/>
      <c r="E636" s="2"/>
    </row>
    <row r="637" spans="4:5" x14ac:dyDescent="0.25">
      <c r="D637" s="2"/>
      <c r="E637" s="2"/>
    </row>
    <row r="638" spans="4:5" x14ac:dyDescent="0.25">
      <c r="D638" s="2"/>
      <c r="E638" s="2"/>
    </row>
    <row r="639" spans="4:5" x14ac:dyDescent="0.25">
      <c r="D639" s="2"/>
      <c r="E639" s="2"/>
    </row>
    <row r="640" spans="4:5" x14ac:dyDescent="0.25">
      <c r="D640" s="2"/>
      <c r="E640" s="2"/>
    </row>
    <row r="641" spans="4:5" x14ac:dyDescent="0.25">
      <c r="D641" s="2"/>
      <c r="E641" s="2"/>
    </row>
    <row r="642" spans="4:5" x14ac:dyDescent="0.25">
      <c r="D642" s="2"/>
      <c r="E642" s="2"/>
    </row>
    <row r="643" spans="4:5" x14ac:dyDescent="0.25">
      <c r="D643" s="2"/>
      <c r="E643" s="2"/>
    </row>
    <row r="644" spans="4:5" x14ac:dyDescent="0.25">
      <c r="D644" s="2"/>
      <c r="E644" s="2"/>
    </row>
    <row r="645" spans="4:5" x14ac:dyDescent="0.25">
      <c r="D645" s="2"/>
      <c r="E645" s="2"/>
    </row>
    <row r="646" spans="4:5" x14ac:dyDescent="0.25">
      <c r="D646" s="2"/>
      <c r="E646" s="2"/>
    </row>
    <row r="647" spans="4:5" x14ac:dyDescent="0.25">
      <c r="D647" s="2"/>
      <c r="E647" s="2"/>
    </row>
    <row r="648" spans="4:5" x14ac:dyDescent="0.25">
      <c r="D648" s="2"/>
      <c r="E648" s="2"/>
    </row>
    <row r="649" spans="4:5" x14ac:dyDescent="0.25">
      <c r="D649" s="2"/>
      <c r="E649" s="2"/>
    </row>
    <row r="650" spans="4:5" x14ac:dyDescent="0.25">
      <c r="D650" s="2"/>
      <c r="E650" s="2"/>
    </row>
    <row r="651" spans="4:5" x14ac:dyDescent="0.25">
      <c r="D651" s="2"/>
      <c r="E651" s="2"/>
    </row>
    <row r="652" spans="4:5" x14ac:dyDescent="0.25">
      <c r="D652" s="2"/>
      <c r="E652" s="2"/>
    </row>
    <row r="653" spans="4:5" x14ac:dyDescent="0.25">
      <c r="D653" s="2"/>
      <c r="E653" s="2"/>
    </row>
    <row r="654" spans="4:5" x14ac:dyDescent="0.25">
      <c r="D654" s="2"/>
      <c r="E654" s="2"/>
    </row>
    <row r="655" spans="4:5" x14ac:dyDescent="0.25">
      <c r="D655" s="2"/>
      <c r="E655" s="2"/>
    </row>
    <row r="656" spans="4:5" x14ac:dyDescent="0.25">
      <c r="D656" s="2"/>
      <c r="E656" s="2"/>
    </row>
    <row r="657" spans="4:5" x14ac:dyDescent="0.25">
      <c r="D657" s="2"/>
      <c r="E657" s="2"/>
    </row>
    <row r="658" spans="4:5" x14ac:dyDescent="0.25">
      <c r="D658" s="2"/>
      <c r="E658" s="2"/>
    </row>
    <row r="659" spans="4:5" x14ac:dyDescent="0.25">
      <c r="D659" s="2"/>
      <c r="E659" s="2"/>
    </row>
    <row r="660" spans="4:5" x14ac:dyDescent="0.25">
      <c r="D660" s="2"/>
      <c r="E660" s="2"/>
    </row>
    <row r="661" spans="4:5" x14ac:dyDescent="0.25">
      <c r="D661" s="2"/>
      <c r="E661" s="2"/>
    </row>
    <row r="662" spans="4:5" x14ac:dyDescent="0.25">
      <c r="D662" s="2"/>
      <c r="E662" s="2"/>
    </row>
    <row r="663" spans="4:5" x14ac:dyDescent="0.25">
      <c r="D663" s="2"/>
      <c r="E663" s="2"/>
    </row>
    <row r="664" spans="4:5" x14ac:dyDescent="0.25">
      <c r="D664" s="2"/>
      <c r="E664" s="2"/>
    </row>
    <row r="665" spans="4:5" x14ac:dyDescent="0.25">
      <c r="D665" s="2"/>
      <c r="E665" s="2"/>
    </row>
    <row r="666" spans="4:5" x14ac:dyDescent="0.25">
      <c r="D666" s="2"/>
      <c r="E666" s="2"/>
    </row>
    <row r="667" spans="4:5" x14ac:dyDescent="0.25">
      <c r="D667" s="2"/>
      <c r="E667" s="2"/>
    </row>
    <row r="668" spans="4:5" x14ac:dyDescent="0.25">
      <c r="D668" s="2"/>
      <c r="E668" s="2"/>
    </row>
    <row r="669" spans="4:5" x14ac:dyDescent="0.25">
      <c r="D669" s="2"/>
      <c r="E669" s="2"/>
    </row>
    <row r="670" spans="4:5" x14ac:dyDescent="0.25">
      <c r="D670" s="2"/>
      <c r="E670" s="2"/>
    </row>
    <row r="671" spans="4:5" x14ac:dyDescent="0.25">
      <c r="D671" s="2"/>
      <c r="E671" s="2"/>
    </row>
    <row r="672" spans="4:5" x14ac:dyDescent="0.25">
      <c r="D672" s="2"/>
      <c r="E672" s="2"/>
    </row>
    <row r="673" spans="4:5" x14ac:dyDescent="0.25">
      <c r="D673" s="2"/>
      <c r="E673" s="2"/>
    </row>
    <row r="674" spans="4:5" x14ac:dyDescent="0.25">
      <c r="D674" s="2"/>
      <c r="E674" s="2"/>
    </row>
    <row r="675" spans="4:5" x14ac:dyDescent="0.25">
      <c r="D675" s="2"/>
      <c r="E675" s="2"/>
    </row>
    <row r="676" spans="4:5" x14ac:dyDescent="0.25">
      <c r="D676" s="2"/>
      <c r="E676" s="2"/>
    </row>
    <row r="677" spans="4:5" x14ac:dyDescent="0.25">
      <c r="D677" s="2"/>
      <c r="E677" s="2"/>
    </row>
    <row r="678" spans="4:5" x14ac:dyDescent="0.25">
      <c r="D678" s="2"/>
      <c r="E678" s="2"/>
    </row>
    <row r="679" spans="4:5" x14ac:dyDescent="0.25">
      <c r="D679" s="2"/>
      <c r="E679" s="2"/>
    </row>
    <row r="680" spans="4:5" x14ac:dyDescent="0.25">
      <c r="D680" s="2"/>
      <c r="E680" s="2"/>
    </row>
    <row r="681" spans="4:5" x14ac:dyDescent="0.25">
      <c r="D681" s="2"/>
      <c r="E681" s="2"/>
    </row>
    <row r="682" spans="4:5" x14ac:dyDescent="0.25">
      <c r="D682" s="2"/>
      <c r="E682" s="2"/>
    </row>
    <row r="683" spans="4:5" x14ac:dyDescent="0.25">
      <c r="D683" s="2"/>
      <c r="E683" s="2"/>
    </row>
    <row r="684" spans="4:5" x14ac:dyDescent="0.25">
      <c r="D684" s="2"/>
      <c r="E684" s="2"/>
    </row>
    <row r="685" spans="4:5" x14ac:dyDescent="0.25">
      <c r="D685" s="2"/>
      <c r="E685" s="2"/>
    </row>
    <row r="686" spans="4:5" x14ac:dyDescent="0.25">
      <c r="D686" s="2"/>
      <c r="E686" s="2"/>
    </row>
    <row r="687" spans="4:5" x14ac:dyDescent="0.25">
      <c r="D687" s="2"/>
      <c r="E687" s="2"/>
    </row>
    <row r="688" spans="4:5" x14ac:dyDescent="0.25">
      <c r="D688" s="2"/>
      <c r="E688" s="2"/>
    </row>
    <row r="689" spans="4:5" x14ac:dyDescent="0.25">
      <c r="D689" s="2"/>
      <c r="E689" s="2"/>
    </row>
    <row r="690" spans="4:5" x14ac:dyDescent="0.25">
      <c r="D690" s="2"/>
      <c r="E690" s="2"/>
    </row>
    <row r="691" spans="4:5" x14ac:dyDescent="0.25">
      <c r="D691" s="2"/>
      <c r="E691" s="2"/>
    </row>
    <row r="692" spans="4:5" x14ac:dyDescent="0.25">
      <c r="D692" s="2"/>
      <c r="E692" s="2"/>
    </row>
    <row r="693" spans="4:5" x14ac:dyDescent="0.25">
      <c r="D693" s="2"/>
      <c r="E693" s="2"/>
    </row>
    <row r="694" spans="4:5" x14ac:dyDescent="0.25">
      <c r="D694" s="2"/>
      <c r="E694" s="2"/>
    </row>
    <row r="695" spans="4:5" x14ac:dyDescent="0.25">
      <c r="D695" s="2"/>
      <c r="E695" s="2"/>
    </row>
    <row r="696" spans="4:5" x14ac:dyDescent="0.25">
      <c r="D696" s="2"/>
      <c r="E696" s="2"/>
    </row>
    <row r="697" spans="4:5" x14ac:dyDescent="0.25">
      <c r="D697" s="2"/>
      <c r="E697" s="2"/>
    </row>
    <row r="698" spans="4:5" x14ac:dyDescent="0.25">
      <c r="D698" s="2"/>
      <c r="E698" s="2"/>
    </row>
    <row r="699" spans="4:5" x14ac:dyDescent="0.25">
      <c r="D699" s="2"/>
      <c r="E699" s="2"/>
    </row>
    <row r="700" spans="4:5" x14ac:dyDescent="0.25">
      <c r="D700" s="2"/>
      <c r="E700" s="2"/>
    </row>
    <row r="701" spans="4:5" x14ac:dyDescent="0.25">
      <c r="D701" s="2"/>
      <c r="E701" s="2"/>
    </row>
    <row r="702" spans="4:5" x14ac:dyDescent="0.25">
      <c r="D702" s="2"/>
      <c r="E702" s="2"/>
    </row>
    <row r="703" spans="4:5" x14ac:dyDescent="0.25">
      <c r="D703" s="2"/>
      <c r="E703" s="2"/>
    </row>
    <row r="704" spans="4:5" x14ac:dyDescent="0.25">
      <c r="D704" s="2"/>
      <c r="E704" s="2"/>
    </row>
    <row r="705" spans="4:5" x14ac:dyDescent="0.25">
      <c r="D705" s="2"/>
      <c r="E705" s="2"/>
    </row>
    <row r="706" spans="4:5" x14ac:dyDescent="0.25">
      <c r="D706" s="2"/>
      <c r="E706" s="2"/>
    </row>
    <row r="707" spans="4:5" x14ac:dyDescent="0.25">
      <c r="D707" s="2"/>
      <c r="E707" s="2"/>
    </row>
    <row r="708" spans="4:5" x14ac:dyDescent="0.25">
      <c r="D708" s="2"/>
      <c r="E708" s="2"/>
    </row>
    <row r="709" spans="4:5" x14ac:dyDescent="0.25">
      <c r="D709" s="2"/>
      <c r="E709" s="2"/>
    </row>
    <row r="710" spans="4:5" x14ac:dyDescent="0.25">
      <c r="D710" s="2"/>
      <c r="E710" s="2"/>
    </row>
    <row r="711" spans="4:5" x14ac:dyDescent="0.25">
      <c r="D711" s="2"/>
      <c r="E711" s="2"/>
    </row>
    <row r="712" spans="4:5" x14ac:dyDescent="0.25">
      <c r="D712" s="2"/>
      <c r="E712" s="2"/>
    </row>
    <row r="713" spans="4:5" x14ac:dyDescent="0.25">
      <c r="D713" s="2"/>
      <c r="E713" s="2"/>
    </row>
    <row r="714" spans="4:5" x14ac:dyDescent="0.25">
      <c r="D714" s="2"/>
      <c r="E714" s="2"/>
    </row>
    <row r="715" spans="4:5" x14ac:dyDescent="0.25">
      <c r="D715" s="2"/>
      <c r="E715" s="2"/>
    </row>
    <row r="716" spans="4:5" x14ac:dyDescent="0.25">
      <c r="D716" s="2"/>
      <c r="E716" s="2"/>
    </row>
    <row r="717" spans="4:5" x14ac:dyDescent="0.25">
      <c r="D717" s="2"/>
      <c r="E717" s="2"/>
    </row>
    <row r="718" spans="4:5" x14ac:dyDescent="0.25">
      <c r="D718" s="2"/>
      <c r="E718" s="2"/>
    </row>
    <row r="719" spans="4:5" x14ac:dyDescent="0.25">
      <c r="D719" s="2"/>
      <c r="E719" s="2"/>
    </row>
    <row r="720" spans="4:5" x14ac:dyDescent="0.25">
      <c r="D720" s="2"/>
      <c r="E720" s="2"/>
    </row>
    <row r="721" spans="4:5" x14ac:dyDescent="0.25">
      <c r="D721" s="2"/>
      <c r="E721" s="2"/>
    </row>
    <row r="722" spans="4:5" x14ac:dyDescent="0.25">
      <c r="D722" s="2"/>
      <c r="E722" s="2"/>
    </row>
    <row r="723" spans="4:5" x14ac:dyDescent="0.25">
      <c r="D723" s="2"/>
      <c r="E723" s="2"/>
    </row>
    <row r="724" spans="4:5" x14ac:dyDescent="0.25">
      <c r="D724" s="2"/>
      <c r="E724" s="2"/>
    </row>
    <row r="725" spans="4:5" x14ac:dyDescent="0.25">
      <c r="D725" s="2"/>
      <c r="E725" s="2"/>
    </row>
    <row r="726" spans="4:5" x14ac:dyDescent="0.25">
      <c r="D726" s="2"/>
      <c r="E726" s="2"/>
    </row>
    <row r="727" spans="4:5" x14ac:dyDescent="0.25">
      <c r="D727" s="2"/>
      <c r="E727" s="2"/>
    </row>
    <row r="728" spans="4:5" x14ac:dyDescent="0.25">
      <c r="D728" s="2"/>
      <c r="E728" s="2"/>
    </row>
    <row r="729" spans="4:5" x14ac:dyDescent="0.25">
      <c r="D729" s="2"/>
      <c r="E729" s="2"/>
    </row>
    <row r="730" spans="4:5" x14ac:dyDescent="0.25">
      <c r="D730" s="2"/>
      <c r="E730" s="2"/>
    </row>
    <row r="731" spans="4:5" x14ac:dyDescent="0.25">
      <c r="D731" s="2"/>
      <c r="E731" s="2"/>
    </row>
    <row r="732" spans="4:5" x14ac:dyDescent="0.25">
      <c r="D732" s="2"/>
      <c r="E732" s="2"/>
    </row>
    <row r="733" spans="4:5" x14ac:dyDescent="0.25">
      <c r="D733" s="2"/>
      <c r="E733" s="2"/>
    </row>
    <row r="734" spans="4:5" x14ac:dyDescent="0.25">
      <c r="D734" s="2"/>
      <c r="E734" s="2"/>
    </row>
    <row r="735" spans="4:5" x14ac:dyDescent="0.25">
      <c r="D735" s="2"/>
      <c r="E735" s="2"/>
    </row>
    <row r="736" spans="4:5" x14ac:dyDescent="0.25">
      <c r="D736" s="2"/>
      <c r="E736" s="2"/>
    </row>
    <row r="737" spans="4:5" x14ac:dyDescent="0.25">
      <c r="D737" s="2"/>
      <c r="E737" s="2"/>
    </row>
    <row r="738" spans="4:5" x14ac:dyDescent="0.25">
      <c r="D738" s="2"/>
      <c r="E738" s="2"/>
    </row>
    <row r="739" spans="4:5" x14ac:dyDescent="0.25">
      <c r="D739" s="2"/>
      <c r="E739" s="2"/>
    </row>
    <row r="740" spans="4:5" x14ac:dyDescent="0.25">
      <c r="D740" s="2"/>
      <c r="E740" s="2"/>
    </row>
    <row r="741" spans="4:5" x14ac:dyDescent="0.25">
      <c r="D741" s="2"/>
      <c r="E741" s="2"/>
    </row>
    <row r="742" spans="4:5" x14ac:dyDescent="0.25">
      <c r="D742" s="2"/>
      <c r="E742" s="2"/>
    </row>
    <row r="743" spans="4:5" x14ac:dyDescent="0.25">
      <c r="D743" s="2"/>
      <c r="E743" s="2"/>
    </row>
    <row r="744" spans="4:5" x14ac:dyDescent="0.25">
      <c r="D744" s="2"/>
      <c r="E744" s="2"/>
    </row>
    <row r="745" spans="4:5" x14ac:dyDescent="0.25">
      <c r="D745" s="2"/>
      <c r="E745" s="2"/>
    </row>
    <row r="746" spans="4:5" x14ac:dyDescent="0.25">
      <c r="D746" s="2"/>
      <c r="E746" s="2"/>
    </row>
    <row r="747" spans="4:5" x14ac:dyDescent="0.25">
      <c r="D747" s="2"/>
      <c r="E747" s="2"/>
    </row>
    <row r="748" spans="4:5" x14ac:dyDescent="0.25">
      <c r="D748" s="2"/>
      <c r="E748" s="2"/>
    </row>
    <row r="749" spans="4:5" x14ac:dyDescent="0.25">
      <c r="D749" s="2"/>
      <c r="E749" s="2"/>
    </row>
    <row r="750" spans="4:5" x14ac:dyDescent="0.25">
      <c r="D750" s="2"/>
      <c r="E750" s="2"/>
    </row>
    <row r="751" spans="4:5" x14ac:dyDescent="0.25">
      <c r="D751" s="2"/>
      <c r="E751" s="2"/>
    </row>
    <row r="752" spans="4:5" x14ac:dyDescent="0.25">
      <c r="D752" s="2"/>
      <c r="E752" s="2"/>
    </row>
    <row r="753" spans="4:5" x14ac:dyDescent="0.25">
      <c r="D753" s="2"/>
      <c r="E753" s="2"/>
    </row>
    <row r="754" spans="4:5" x14ac:dyDescent="0.25">
      <c r="D754" s="2"/>
      <c r="E754" s="2"/>
    </row>
    <row r="755" spans="4:5" x14ac:dyDescent="0.25">
      <c r="D755" s="2"/>
      <c r="E755" s="2"/>
    </row>
    <row r="756" spans="4:5" x14ac:dyDescent="0.25">
      <c r="D756" s="2"/>
      <c r="E756" s="2"/>
    </row>
    <row r="757" spans="4:5" x14ac:dyDescent="0.25">
      <c r="D757" s="2"/>
      <c r="E757" s="2"/>
    </row>
    <row r="758" spans="4:5" x14ac:dyDescent="0.25">
      <c r="D758" s="2"/>
      <c r="E758" s="2"/>
    </row>
    <row r="759" spans="4:5" x14ac:dyDescent="0.25">
      <c r="D759" s="2"/>
      <c r="E759" s="2"/>
    </row>
    <row r="760" spans="4:5" x14ac:dyDescent="0.25">
      <c r="D760" s="2"/>
      <c r="E760" s="2"/>
    </row>
    <row r="761" spans="4:5" x14ac:dyDescent="0.25">
      <c r="D761" s="2"/>
      <c r="E761" s="2"/>
    </row>
    <row r="762" spans="4:5" x14ac:dyDescent="0.25">
      <c r="D762" s="2"/>
      <c r="E762" s="2"/>
    </row>
    <row r="763" spans="4:5" x14ac:dyDescent="0.25">
      <c r="D763" s="2"/>
      <c r="E763" s="2"/>
    </row>
    <row r="764" spans="4:5" x14ac:dyDescent="0.25">
      <c r="D764" s="2"/>
      <c r="E764" s="2"/>
    </row>
    <row r="765" spans="4:5" x14ac:dyDescent="0.25">
      <c r="D765" s="2"/>
      <c r="E765" s="2"/>
    </row>
    <row r="766" spans="4:5" x14ac:dyDescent="0.25">
      <c r="D766" s="2"/>
      <c r="E766" s="2"/>
    </row>
    <row r="767" spans="4:5" x14ac:dyDescent="0.25">
      <c r="D767" s="2"/>
      <c r="E767" s="2"/>
    </row>
    <row r="768" spans="4:5" x14ac:dyDescent="0.25">
      <c r="D768" s="2"/>
      <c r="E768" s="2"/>
    </row>
    <row r="769" spans="4:5" x14ac:dyDescent="0.25">
      <c r="D769" s="2"/>
      <c r="E769" s="2"/>
    </row>
    <row r="770" spans="4:5" x14ac:dyDescent="0.25">
      <c r="D770" s="2"/>
      <c r="E770" s="2"/>
    </row>
    <row r="771" spans="4:5" x14ac:dyDescent="0.25">
      <c r="D771" s="2"/>
      <c r="E771" s="2"/>
    </row>
    <row r="772" spans="4:5" x14ac:dyDescent="0.25">
      <c r="D772" s="2"/>
      <c r="E772" s="2"/>
    </row>
    <row r="773" spans="4:5" x14ac:dyDescent="0.25">
      <c r="D773" s="2"/>
      <c r="E773" s="2"/>
    </row>
    <row r="774" spans="4:5" x14ac:dyDescent="0.25">
      <c r="D774" s="2"/>
      <c r="E774" s="2"/>
    </row>
    <row r="775" spans="4:5" x14ac:dyDescent="0.25">
      <c r="D775" s="2"/>
      <c r="E775" s="2"/>
    </row>
    <row r="776" spans="4:5" x14ac:dyDescent="0.25">
      <c r="D776" s="2"/>
      <c r="E776" s="2"/>
    </row>
    <row r="777" spans="4:5" x14ac:dyDescent="0.25">
      <c r="D777" s="2"/>
      <c r="E777" s="2"/>
    </row>
    <row r="778" spans="4:5" x14ac:dyDescent="0.25">
      <c r="D778" s="2"/>
      <c r="E778" s="2"/>
    </row>
    <row r="779" spans="4:5" x14ac:dyDescent="0.25">
      <c r="D779" s="2"/>
      <c r="E779" s="2"/>
    </row>
    <row r="780" spans="4:5" x14ac:dyDescent="0.25">
      <c r="D780" s="2"/>
      <c r="E780" s="2"/>
    </row>
    <row r="781" spans="4:5" x14ac:dyDescent="0.25">
      <c r="D781" s="2"/>
      <c r="E781" s="2"/>
    </row>
    <row r="782" spans="4:5" x14ac:dyDescent="0.25">
      <c r="D782" s="2"/>
      <c r="E782" s="2"/>
    </row>
    <row r="783" spans="4:5" x14ac:dyDescent="0.25">
      <c r="D783" s="2"/>
      <c r="E783" s="2"/>
    </row>
    <row r="784" spans="4:5" x14ac:dyDescent="0.25">
      <c r="D784" s="2"/>
      <c r="E784" s="2"/>
    </row>
    <row r="785" spans="4:5" x14ac:dyDescent="0.25">
      <c r="D785" s="2"/>
      <c r="E785" s="2"/>
    </row>
    <row r="786" spans="4:5" x14ac:dyDescent="0.25">
      <c r="D786" s="2"/>
      <c r="E786" s="2"/>
    </row>
    <row r="787" spans="4:5" x14ac:dyDescent="0.25">
      <c r="D787" s="2"/>
      <c r="E787" s="2"/>
    </row>
    <row r="788" spans="4:5" x14ac:dyDescent="0.25">
      <c r="D788" s="2"/>
      <c r="E788" s="2"/>
    </row>
    <row r="789" spans="4:5" x14ac:dyDescent="0.25">
      <c r="D789" s="2"/>
      <c r="E789" s="2"/>
    </row>
    <row r="790" spans="4:5" x14ac:dyDescent="0.25">
      <c r="D790" s="2"/>
      <c r="E790" s="2"/>
    </row>
    <row r="791" spans="4:5" x14ac:dyDescent="0.25">
      <c r="D791" s="2"/>
      <c r="E791" s="2"/>
    </row>
    <row r="792" spans="4:5" x14ac:dyDescent="0.25">
      <c r="D792" s="2"/>
      <c r="E792" s="2"/>
    </row>
    <row r="793" spans="4:5" x14ac:dyDescent="0.25">
      <c r="D793" s="2"/>
      <c r="E793" s="2"/>
    </row>
    <row r="794" spans="4:5" x14ac:dyDescent="0.25">
      <c r="D794" s="2"/>
      <c r="E794" s="2"/>
    </row>
    <row r="795" spans="4:5" x14ac:dyDescent="0.25">
      <c r="D795" s="2"/>
      <c r="E795" s="2"/>
    </row>
    <row r="796" spans="4:5" x14ac:dyDescent="0.25">
      <c r="D796" s="2"/>
      <c r="E796" s="2"/>
    </row>
    <row r="797" spans="4:5" x14ac:dyDescent="0.25">
      <c r="D797" s="2"/>
      <c r="E797" s="2"/>
    </row>
    <row r="798" spans="4:5" x14ac:dyDescent="0.25">
      <c r="D798" s="2"/>
      <c r="E798" s="2"/>
    </row>
    <row r="799" spans="4:5" x14ac:dyDescent="0.25">
      <c r="D799" s="2"/>
      <c r="E799" s="2"/>
    </row>
    <row r="800" spans="4:5" x14ac:dyDescent="0.25">
      <c r="D800" s="2"/>
      <c r="E800" s="2"/>
    </row>
    <row r="801" spans="4:5" x14ac:dyDescent="0.25">
      <c r="D801" s="2"/>
      <c r="E801" s="2"/>
    </row>
    <row r="802" spans="4:5" x14ac:dyDescent="0.25">
      <c r="D802" s="2"/>
      <c r="E802" s="2"/>
    </row>
    <row r="803" spans="4:5" x14ac:dyDescent="0.25">
      <c r="D803" s="2"/>
      <c r="E803" s="2"/>
    </row>
    <row r="804" spans="4:5" x14ac:dyDescent="0.25">
      <c r="D804" s="2"/>
      <c r="E804" s="2"/>
    </row>
    <row r="805" spans="4:5" x14ac:dyDescent="0.25">
      <c r="D805" s="2"/>
      <c r="E805" s="2"/>
    </row>
    <row r="806" spans="4:5" x14ac:dyDescent="0.25">
      <c r="D806" s="2"/>
      <c r="E806" s="2"/>
    </row>
    <row r="807" spans="4:5" x14ac:dyDescent="0.25">
      <c r="D807" s="2"/>
      <c r="E807" s="2"/>
    </row>
    <row r="808" spans="4:5" x14ac:dyDescent="0.25">
      <c r="D808" s="2"/>
      <c r="E808" s="2"/>
    </row>
    <row r="809" spans="4:5" x14ac:dyDescent="0.25">
      <c r="D809" s="2"/>
      <c r="E809" s="2"/>
    </row>
    <row r="810" spans="4:5" x14ac:dyDescent="0.25">
      <c r="D810" s="2"/>
      <c r="E810" s="2"/>
    </row>
    <row r="811" spans="4:5" x14ac:dyDescent="0.25">
      <c r="D811" s="2"/>
      <c r="E811" s="2"/>
    </row>
    <row r="812" spans="4:5" x14ac:dyDescent="0.25">
      <c r="D812" s="2"/>
      <c r="E812" s="2"/>
    </row>
    <row r="813" spans="4:5" x14ac:dyDescent="0.25">
      <c r="D813" s="2"/>
      <c r="E813" s="2"/>
    </row>
    <row r="814" spans="4:5" x14ac:dyDescent="0.25">
      <c r="D814" s="2"/>
      <c r="E814" s="2"/>
    </row>
    <row r="815" spans="4:5" x14ac:dyDescent="0.25">
      <c r="D815" s="2"/>
      <c r="E815" s="2"/>
    </row>
    <row r="816" spans="4:5" x14ac:dyDescent="0.25">
      <c r="D816" s="2"/>
      <c r="E816" s="2"/>
    </row>
    <row r="817" spans="4:5" x14ac:dyDescent="0.25">
      <c r="D817" s="2"/>
      <c r="E817" s="2"/>
    </row>
    <row r="818" spans="4:5" x14ac:dyDescent="0.25">
      <c r="D818" s="2"/>
      <c r="E818" s="2"/>
    </row>
    <row r="819" spans="4:5" x14ac:dyDescent="0.25">
      <c r="D819" s="2"/>
      <c r="E819" s="2"/>
    </row>
    <row r="820" spans="4:5" x14ac:dyDescent="0.25">
      <c r="D820" s="2"/>
      <c r="E820" s="2"/>
    </row>
    <row r="821" spans="4:5" x14ac:dyDescent="0.25">
      <c r="D821" s="2"/>
      <c r="E821" s="2"/>
    </row>
    <row r="822" spans="4:5" x14ac:dyDescent="0.25">
      <c r="D822" s="2"/>
      <c r="E822" s="2"/>
    </row>
    <row r="823" spans="4:5" x14ac:dyDescent="0.25">
      <c r="D823" s="2"/>
      <c r="E823" s="2"/>
    </row>
    <row r="824" spans="4:5" x14ac:dyDescent="0.25">
      <c r="D824" s="2"/>
      <c r="E824" s="2"/>
    </row>
    <row r="825" spans="4:5" x14ac:dyDescent="0.25">
      <c r="D825" s="2"/>
      <c r="E825" s="2"/>
    </row>
    <row r="826" spans="4:5" x14ac:dyDescent="0.25">
      <c r="D826" s="2"/>
      <c r="E826" s="2"/>
    </row>
    <row r="827" spans="4:5" x14ac:dyDescent="0.25">
      <c r="D827" s="2"/>
      <c r="E827" s="2"/>
    </row>
    <row r="828" spans="4:5" x14ac:dyDescent="0.25">
      <c r="D828" s="2"/>
      <c r="E828" s="2"/>
    </row>
    <row r="829" spans="4:5" x14ac:dyDescent="0.25">
      <c r="D829" s="2"/>
      <c r="E829" s="2"/>
    </row>
    <row r="830" spans="4:5" x14ac:dyDescent="0.25">
      <c r="D830" s="2"/>
      <c r="E830" s="2"/>
    </row>
    <row r="831" spans="4:5" x14ac:dyDescent="0.25">
      <c r="D831" s="2"/>
      <c r="E831" s="2"/>
    </row>
    <row r="832" spans="4:5" x14ac:dyDescent="0.25">
      <c r="D832" s="2"/>
      <c r="E832" s="2"/>
    </row>
    <row r="833" spans="4:5" x14ac:dyDescent="0.25">
      <c r="D833" s="2"/>
      <c r="E833" s="2"/>
    </row>
    <row r="834" spans="4:5" x14ac:dyDescent="0.25">
      <c r="D834" s="2"/>
      <c r="E834" s="2"/>
    </row>
    <row r="835" spans="4:5" x14ac:dyDescent="0.25">
      <c r="D835" s="2"/>
      <c r="E835" s="2"/>
    </row>
    <row r="836" spans="4:5" x14ac:dyDescent="0.25">
      <c r="D836" s="2"/>
      <c r="E836" s="2"/>
    </row>
    <row r="837" spans="4:5" x14ac:dyDescent="0.25">
      <c r="D837" s="2"/>
      <c r="E837" s="2"/>
    </row>
    <row r="838" spans="4:5" x14ac:dyDescent="0.25">
      <c r="D838" s="2"/>
      <c r="E838" s="2"/>
    </row>
    <row r="839" spans="4:5" x14ac:dyDescent="0.25">
      <c r="D839" s="2"/>
      <c r="E839" s="2"/>
    </row>
    <row r="840" spans="4:5" x14ac:dyDescent="0.25">
      <c r="D840" s="2"/>
      <c r="E840" s="2"/>
    </row>
    <row r="841" spans="4:5" x14ac:dyDescent="0.25">
      <c r="D841" s="2"/>
      <c r="E841" s="2"/>
    </row>
    <row r="842" spans="4:5" x14ac:dyDescent="0.25">
      <c r="D842" s="2"/>
      <c r="E842" s="2"/>
    </row>
    <row r="843" spans="4:5" x14ac:dyDescent="0.25">
      <c r="D843" s="2"/>
      <c r="E843" s="2"/>
    </row>
    <row r="844" spans="4:5" x14ac:dyDescent="0.25">
      <c r="D844" s="2"/>
      <c r="E844" s="2"/>
    </row>
    <row r="845" spans="4:5" x14ac:dyDescent="0.25">
      <c r="D845" s="2"/>
      <c r="E845" s="2"/>
    </row>
    <row r="846" spans="4:5" x14ac:dyDescent="0.25">
      <c r="D846" s="2"/>
      <c r="E846" s="2"/>
    </row>
    <row r="847" spans="4:5" x14ac:dyDescent="0.25">
      <c r="D847" s="2"/>
      <c r="E847" s="2"/>
    </row>
    <row r="848" spans="4:5" x14ac:dyDescent="0.25">
      <c r="D848" s="2"/>
      <c r="E848" s="2"/>
    </row>
    <row r="849" spans="4:5" x14ac:dyDescent="0.25">
      <c r="D849" s="2"/>
      <c r="E849" s="2"/>
    </row>
    <row r="850" spans="4:5" x14ac:dyDescent="0.25">
      <c r="D850" s="2"/>
      <c r="E850" s="2"/>
    </row>
    <row r="851" spans="4:5" x14ac:dyDescent="0.25">
      <c r="D851" s="2"/>
      <c r="E851" s="2"/>
    </row>
    <row r="852" spans="4:5" x14ac:dyDescent="0.25">
      <c r="D852" s="2"/>
      <c r="E852" s="2"/>
    </row>
    <row r="853" spans="4:5" x14ac:dyDescent="0.25">
      <c r="D853" s="2"/>
      <c r="E853" s="2"/>
    </row>
    <row r="854" spans="4:5" x14ac:dyDescent="0.25">
      <c r="D854" s="2"/>
      <c r="E854" s="2"/>
    </row>
    <row r="855" spans="4:5" x14ac:dyDescent="0.25">
      <c r="D855" s="2"/>
      <c r="E855" s="2"/>
    </row>
    <row r="856" spans="4:5" x14ac:dyDescent="0.25">
      <c r="D856" s="2"/>
      <c r="E856" s="2"/>
    </row>
    <row r="857" spans="4:5" x14ac:dyDescent="0.25">
      <c r="D857" s="2"/>
      <c r="E857" s="2"/>
    </row>
    <row r="858" spans="4:5" x14ac:dyDescent="0.25">
      <c r="D858" s="2"/>
      <c r="E858" s="2"/>
    </row>
    <row r="859" spans="4:5" x14ac:dyDescent="0.25">
      <c r="D859" s="2"/>
      <c r="E859" s="2"/>
    </row>
    <row r="860" spans="4:5" x14ac:dyDescent="0.25">
      <c r="D860" s="2"/>
      <c r="E860" s="2"/>
    </row>
    <row r="861" spans="4:5" x14ac:dyDescent="0.25">
      <c r="D861" s="2"/>
      <c r="E861" s="2"/>
    </row>
    <row r="862" spans="4:5" x14ac:dyDescent="0.25">
      <c r="D862" s="2"/>
      <c r="E862" s="2"/>
    </row>
    <row r="863" spans="4:5" x14ac:dyDescent="0.25">
      <c r="D863" s="2"/>
      <c r="E863" s="2"/>
    </row>
    <row r="864" spans="4:5" x14ac:dyDescent="0.25">
      <c r="D864" s="2"/>
      <c r="E864" s="2"/>
    </row>
    <row r="865" spans="4:5" x14ac:dyDescent="0.25">
      <c r="D865" s="2"/>
      <c r="E865" s="2"/>
    </row>
    <row r="866" spans="4:5" x14ac:dyDescent="0.25">
      <c r="D866" s="2"/>
      <c r="E866" s="2"/>
    </row>
    <row r="867" spans="4:5" x14ac:dyDescent="0.25">
      <c r="D867" s="2"/>
      <c r="E867" s="2"/>
    </row>
    <row r="868" spans="4:5" x14ac:dyDescent="0.25">
      <c r="D868" s="2"/>
      <c r="E868" s="2"/>
    </row>
    <row r="869" spans="4:5" x14ac:dyDescent="0.25">
      <c r="D869" s="2"/>
      <c r="E869" s="2"/>
    </row>
    <row r="870" spans="4:5" x14ac:dyDescent="0.25">
      <c r="D870" s="2"/>
      <c r="E870" s="2"/>
    </row>
    <row r="871" spans="4:5" x14ac:dyDescent="0.25">
      <c r="D871" s="2"/>
      <c r="E871" s="2"/>
    </row>
    <row r="872" spans="4:5" x14ac:dyDescent="0.25">
      <c r="D872" s="2"/>
      <c r="E872" s="2"/>
    </row>
    <row r="873" spans="4:5" x14ac:dyDescent="0.25">
      <c r="D873" s="2"/>
      <c r="E873" s="2"/>
    </row>
    <row r="874" spans="4:5" x14ac:dyDescent="0.25">
      <c r="D874" s="2"/>
      <c r="E874" s="2"/>
    </row>
    <row r="875" spans="4:5" x14ac:dyDescent="0.25">
      <c r="D875" s="2"/>
      <c r="E875" s="2"/>
    </row>
    <row r="876" spans="4:5" x14ac:dyDescent="0.25">
      <c r="D876" s="2"/>
      <c r="E876" s="2"/>
    </row>
    <row r="877" spans="4:5" x14ac:dyDescent="0.25">
      <c r="D877" s="2"/>
      <c r="E877" s="2"/>
    </row>
    <row r="878" spans="4:5" x14ac:dyDescent="0.25">
      <c r="D878" s="2"/>
      <c r="E878" s="2"/>
    </row>
    <row r="879" spans="4:5" x14ac:dyDescent="0.25">
      <c r="D879" s="2"/>
      <c r="E879" s="2"/>
    </row>
    <row r="880" spans="4:5" x14ac:dyDescent="0.25">
      <c r="D880" s="2"/>
      <c r="E880" s="2"/>
    </row>
    <row r="881" spans="4:5" x14ac:dyDescent="0.25">
      <c r="D881" s="2"/>
      <c r="E881" s="2"/>
    </row>
    <row r="882" spans="4:5" x14ac:dyDescent="0.25">
      <c r="D882" s="2"/>
      <c r="E882" s="2"/>
    </row>
    <row r="883" spans="4:5" x14ac:dyDescent="0.25">
      <c r="D883" s="2"/>
      <c r="E883" s="2"/>
    </row>
    <row r="884" spans="4:5" x14ac:dyDescent="0.25">
      <c r="D884" s="2"/>
      <c r="E884" s="2"/>
    </row>
    <row r="885" spans="4:5" x14ac:dyDescent="0.25">
      <c r="D885" s="2"/>
      <c r="E885" s="2"/>
    </row>
    <row r="886" spans="4:5" x14ac:dyDescent="0.25">
      <c r="D886" s="2"/>
      <c r="E886" s="2"/>
    </row>
    <row r="887" spans="4:5" x14ac:dyDescent="0.25">
      <c r="D887" s="2"/>
      <c r="E887" s="2"/>
    </row>
    <row r="888" spans="4:5" x14ac:dyDescent="0.25">
      <c r="D888" s="2"/>
      <c r="E888" s="2"/>
    </row>
    <row r="889" spans="4:5" x14ac:dyDescent="0.25">
      <c r="D889" s="2"/>
      <c r="E889" s="2"/>
    </row>
    <row r="890" spans="4:5" x14ac:dyDescent="0.25">
      <c r="D890" s="2"/>
      <c r="E890" s="2"/>
    </row>
    <row r="891" spans="4:5" x14ac:dyDescent="0.25">
      <c r="D891" s="2"/>
      <c r="E891" s="2"/>
    </row>
    <row r="892" spans="4:5" x14ac:dyDescent="0.25">
      <c r="D892" s="2"/>
      <c r="E892" s="2"/>
    </row>
    <row r="893" spans="4:5" x14ac:dyDescent="0.25">
      <c r="D893" s="2"/>
      <c r="E893" s="2"/>
    </row>
    <row r="894" spans="4:5" x14ac:dyDescent="0.25">
      <c r="D894" s="2"/>
      <c r="E894" s="2"/>
    </row>
    <row r="895" spans="4:5" x14ac:dyDescent="0.25">
      <c r="D895" s="2"/>
      <c r="E895" s="2"/>
    </row>
    <row r="896" spans="4:5" x14ac:dyDescent="0.25">
      <c r="D896" s="2"/>
      <c r="E896" s="2"/>
    </row>
    <row r="897" spans="4:5" x14ac:dyDescent="0.25">
      <c r="D897" s="2"/>
      <c r="E897" s="2"/>
    </row>
    <row r="898" spans="4:5" x14ac:dyDescent="0.25">
      <c r="D898" s="2"/>
      <c r="E898" s="2"/>
    </row>
    <row r="899" spans="4:5" x14ac:dyDescent="0.25">
      <c r="D899" s="2"/>
      <c r="E899" s="2"/>
    </row>
    <row r="900" spans="4:5" x14ac:dyDescent="0.25">
      <c r="D900" s="2"/>
      <c r="E900" s="2"/>
    </row>
    <row r="901" spans="4:5" x14ac:dyDescent="0.25">
      <c r="D901" s="2"/>
      <c r="E901" s="2"/>
    </row>
    <row r="902" spans="4:5" x14ac:dyDescent="0.25">
      <c r="D902" s="2"/>
      <c r="E902" s="2"/>
    </row>
    <row r="903" spans="4:5" x14ac:dyDescent="0.25">
      <c r="D903" s="2"/>
      <c r="E903" s="2"/>
    </row>
    <row r="904" spans="4:5" x14ac:dyDescent="0.25">
      <c r="D904" s="2"/>
      <c r="E904" s="2"/>
    </row>
    <row r="905" spans="4:5" x14ac:dyDescent="0.25">
      <c r="D905" s="2"/>
      <c r="E905" s="2"/>
    </row>
    <row r="906" spans="4:5" x14ac:dyDescent="0.25">
      <c r="D906" s="2"/>
      <c r="E906" s="2"/>
    </row>
    <row r="907" spans="4:5" x14ac:dyDescent="0.25">
      <c r="D907" s="2"/>
      <c r="E907" s="2"/>
    </row>
    <row r="908" spans="4:5" x14ac:dyDescent="0.25">
      <c r="D908" s="2"/>
      <c r="E908" s="2"/>
    </row>
    <row r="909" spans="4:5" x14ac:dyDescent="0.25">
      <c r="D909" s="2"/>
      <c r="E909" s="2"/>
    </row>
    <row r="910" spans="4:5" x14ac:dyDescent="0.25">
      <c r="D910" s="2"/>
      <c r="E910" s="2"/>
    </row>
    <row r="911" spans="4:5" x14ac:dyDescent="0.25">
      <c r="D911" s="2"/>
      <c r="E911" s="2"/>
    </row>
    <row r="912" spans="4:5" x14ac:dyDescent="0.25">
      <c r="D912" s="2"/>
      <c r="E912" s="2"/>
    </row>
    <row r="913" spans="4:5" x14ac:dyDescent="0.25">
      <c r="D913" s="2"/>
      <c r="E913" s="2"/>
    </row>
    <row r="914" spans="4:5" x14ac:dyDescent="0.25">
      <c r="D914" s="2"/>
      <c r="E914" s="2"/>
    </row>
    <row r="915" spans="4:5" x14ac:dyDescent="0.25">
      <c r="D915" s="2"/>
      <c r="E915" s="2"/>
    </row>
    <row r="916" spans="4:5" x14ac:dyDescent="0.25">
      <c r="D916" s="2"/>
      <c r="E916" s="2"/>
    </row>
    <row r="917" spans="4:5" x14ac:dyDescent="0.25">
      <c r="D917" s="2"/>
      <c r="E917" s="2"/>
    </row>
    <row r="918" spans="4:5" x14ac:dyDescent="0.25">
      <c r="D918" s="2"/>
      <c r="E918" s="2"/>
    </row>
    <row r="919" spans="4:5" x14ac:dyDescent="0.25">
      <c r="D919" s="2"/>
      <c r="E919" s="2"/>
    </row>
    <row r="920" spans="4:5" x14ac:dyDescent="0.25">
      <c r="D920" s="2"/>
      <c r="E920" s="2"/>
    </row>
    <row r="921" spans="4:5" x14ac:dyDescent="0.25">
      <c r="D921" s="2"/>
      <c r="E921" s="2"/>
    </row>
    <row r="922" spans="4:5" x14ac:dyDescent="0.25">
      <c r="D922" s="2"/>
      <c r="E922" s="2"/>
    </row>
    <row r="923" spans="4:5" x14ac:dyDescent="0.25">
      <c r="D923" s="2"/>
      <c r="E923" s="2"/>
    </row>
    <row r="924" spans="4:5" x14ac:dyDescent="0.25">
      <c r="D924" s="2"/>
      <c r="E924" s="2"/>
    </row>
    <row r="925" spans="4:5" x14ac:dyDescent="0.25">
      <c r="D925" s="2"/>
      <c r="E925" s="2"/>
    </row>
    <row r="926" spans="4:5" x14ac:dyDescent="0.25">
      <c r="D926" s="2"/>
      <c r="E926" s="2"/>
    </row>
    <row r="927" spans="4:5" x14ac:dyDescent="0.25">
      <c r="D927" s="2"/>
      <c r="E927" s="2"/>
    </row>
    <row r="928" spans="4:5" x14ac:dyDescent="0.25">
      <c r="D928" s="2"/>
      <c r="E928" s="2"/>
    </row>
    <row r="929" spans="4:5" x14ac:dyDescent="0.25">
      <c r="D929" s="2"/>
      <c r="E929" s="2"/>
    </row>
    <row r="930" spans="4:5" x14ac:dyDescent="0.25">
      <c r="D930" s="2"/>
      <c r="E930" s="2"/>
    </row>
    <row r="931" spans="4:5" x14ac:dyDescent="0.25">
      <c r="D931" s="2"/>
      <c r="E931" s="2"/>
    </row>
    <row r="932" spans="4:5" x14ac:dyDescent="0.25">
      <c r="D932" s="2"/>
      <c r="E932" s="2"/>
    </row>
    <row r="933" spans="4:5" x14ac:dyDescent="0.25">
      <c r="D933" s="2"/>
      <c r="E933" s="2"/>
    </row>
    <row r="934" spans="4:5" x14ac:dyDescent="0.25">
      <c r="D934" s="2"/>
      <c r="E934" s="2"/>
    </row>
    <row r="935" spans="4:5" x14ac:dyDescent="0.25">
      <c r="D935" s="2"/>
      <c r="E935" s="2"/>
    </row>
    <row r="936" spans="4:5" x14ac:dyDescent="0.25">
      <c r="D936" s="2"/>
      <c r="E936" s="2"/>
    </row>
    <row r="937" spans="4:5" x14ac:dyDescent="0.25">
      <c r="D937" s="2"/>
      <c r="E937" s="2"/>
    </row>
    <row r="938" spans="4:5" x14ac:dyDescent="0.25">
      <c r="D938" s="2"/>
      <c r="E938" s="2"/>
    </row>
    <row r="939" spans="4:5" x14ac:dyDescent="0.25">
      <c r="D939" s="2"/>
      <c r="E939" s="2"/>
    </row>
    <row r="940" spans="4:5" x14ac:dyDescent="0.25">
      <c r="D940" s="2"/>
      <c r="E940" s="2"/>
    </row>
    <row r="941" spans="4:5" x14ac:dyDescent="0.25">
      <c r="D941" s="2"/>
      <c r="E941" s="2"/>
    </row>
    <row r="942" spans="4:5" x14ac:dyDescent="0.25">
      <c r="D942" s="2"/>
      <c r="E942" s="2"/>
    </row>
    <row r="943" spans="4:5" x14ac:dyDescent="0.25">
      <c r="D943" s="2"/>
      <c r="E943" s="2"/>
    </row>
    <row r="944" spans="4:5" x14ac:dyDescent="0.25">
      <c r="D944" s="2"/>
      <c r="E944" s="2"/>
    </row>
    <row r="945" spans="4:5" x14ac:dyDescent="0.25">
      <c r="D945" s="2"/>
      <c r="E945" s="2"/>
    </row>
    <row r="946" spans="4:5" x14ac:dyDescent="0.25">
      <c r="D946" s="2"/>
      <c r="E946" s="2"/>
    </row>
    <row r="947" spans="4:5" x14ac:dyDescent="0.25">
      <c r="D947" s="2"/>
      <c r="E947" s="2"/>
    </row>
    <row r="948" spans="4:5" x14ac:dyDescent="0.25">
      <c r="D948" s="2"/>
      <c r="E948" s="2"/>
    </row>
    <row r="949" spans="4:5" x14ac:dyDescent="0.25">
      <c r="D949" s="2"/>
      <c r="E949" s="2"/>
    </row>
    <row r="950" spans="4:5" x14ac:dyDescent="0.25">
      <c r="D950" s="2"/>
      <c r="E950" s="2"/>
    </row>
    <row r="951" spans="4:5" x14ac:dyDescent="0.25">
      <c r="D951" s="2"/>
      <c r="E951" s="2"/>
    </row>
    <row r="952" spans="4:5" x14ac:dyDescent="0.25">
      <c r="D952" s="2"/>
      <c r="E952" s="2"/>
    </row>
    <row r="953" spans="4:5" x14ac:dyDescent="0.25">
      <c r="D953" s="2"/>
      <c r="E953" s="2"/>
    </row>
    <row r="954" spans="4:5" x14ac:dyDescent="0.25">
      <c r="D954" s="2"/>
      <c r="E954" s="2"/>
    </row>
    <row r="955" spans="4:5" x14ac:dyDescent="0.25">
      <c r="D955" s="2"/>
      <c r="E955" s="2"/>
    </row>
    <row r="956" spans="4:5" x14ac:dyDescent="0.25">
      <c r="D956" s="2"/>
      <c r="E956" s="2"/>
    </row>
    <row r="957" spans="4:5" x14ac:dyDescent="0.25">
      <c r="D957" s="2"/>
      <c r="E957" s="2"/>
    </row>
    <row r="958" spans="4:5" x14ac:dyDescent="0.25">
      <c r="D958" s="2"/>
      <c r="E958" s="2"/>
    </row>
    <row r="959" spans="4:5" x14ac:dyDescent="0.25">
      <c r="D959" s="2"/>
      <c r="E959" s="2"/>
    </row>
  </sheetData>
  <sheetProtection selectLockedCells="1" selectUnlockedCells="1"/>
  <sortState xmlns:xlrd2="http://schemas.microsoft.com/office/spreadsheetml/2017/richdata2" ref="A2:D325">
    <sortCondition ref="A4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87"/>
  <sheetViews>
    <sheetView workbookViewId="0">
      <selection activeCell="B16" sqref="B16"/>
    </sheetView>
  </sheetViews>
  <sheetFormatPr defaultColWidth="8.85546875" defaultRowHeight="15" x14ac:dyDescent="0.25"/>
  <cols>
    <col min="1" max="1" width="16.28515625" bestFit="1" customWidth="1"/>
    <col min="2" max="2" width="19.28515625" bestFit="1" customWidth="1"/>
  </cols>
  <sheetData>
    <row r="1" spans="1:2" x14ac:dyDescent="0.25">
      <c r="A1" s="1" t="s">
        <v>81</v>
      </c>
      <c r="B1" s="1" t="s">
        <v>80</v>
      </c>
    </row>
    <row r="2" spans="1:2" x14ac:dyDescent="0.25">
      <c r="A2" t="s">
        <v>0</v>
      </c>
      <c r="B2" t="s">
        <v>87</v>
      </c>
    </row>
    <row r="3" spans="1:2" x14ac:dyDescent="0.25">
      <c r="A3" t="s">
        <v>6</v>
      </c>
      <c r="B3" t="s">
        <v>87</v>
      </c>
    </row>
    <row r="4" spans="1:2" x14ac:dyDescent="0.25">
      <c r="A4" t="s">
        <v>33</v>
      </c>
      <c r="B4" t="s">
        <v>87</v>
      </c>
    </row>
    <row r="5" spans="1:2" x14ac:dyDescent="0.25">
      <c r="A5" t="s">
        <v>34</v>
      </c>
      <c r="B5" t="s">
        <v>87</v>
      </c>
    </row>
    <row r="6" spans="1:2" x14ac:dyDescent="0.25">
      <c r="A6" t="s">
        <v>82</v>
      </c>
      <c r="B6" t="s">
        <v>87</v>
      </c>
    </row>
    <row r="7" spans="1:2" x14ac:dyDescent="0.25">
      <c r="A7" t="s">
        <v>36</v>
      </c>
      <c r="B7" t="s">
        <v>87</v>
      </c>
    </row>
    <row r="8" spans="1:2" x14ac:dyDescent="0.25">
      <c r="A8" t="s">
        <v>52</v>
      </c>
      <c r="B8" t="s">
        <v>87</v>
      </c>
    </row>
    <row r="9" spans="1:2" x14ac:dyDescent="0.25">
      <c r="A9" t="s">
        <v>58</v>
      </c>
      <c r="B9" t="s">
        <v>87</v>
      </c>
    </row>
    <row r="10" spans="1:2" x14ac:dyDescent="0.25">
      <c r="A10" t="s">
        <v>16</v>
      </c>
      <c r="B10" t="s">
        <v>87</v>
      </c>
    </row>
    <row r="11" spans="1:2" x14ac:dyDescent="0.25">
      <c r="A11" t="s">
        <v>10</v>
      </c>
      <c r="B11" t="s">
        <v>88</v>
      </c>
    </row>
    <row r="12" spans="1:2" x14ac:dyDescent="0.25">
      <c r="A12" t="s">
        <v>19</v>
      </c>
      <c r="B12" t="s">
        <v>88</v>
      </c>
    </row>
    <row r="13" spans="1:2" x14ac:dyDescent="0.25">
      <c r="A13" t="s">
        <v>25</v>
      </c>
      <c r="B13" t="s">
        <v>88</v>
      </c>
    </row>
    <row r="14" spans="1:2" x14ac:dyDescent="0.25">
      <c r="A14" t="s">
        <v>27</v>
      </c>
      <c r="B14" t="s">
        <v>88</v>
      </c>
    </row>
    <row r="15" spans="1:2" x14ac:dyDescent="0.25">
      <c r="A15" t="s">
        <v>26</v>
      </c>
      <c r="B15" t="s">
        <v>88</v>
      </c>
    </row>
    <row r="16" spans="1:2" x14ac:dyDescent="0.25">
      <c r="A16" t="s">
        <v>35</v>
      </c>
      <c r="B16" t="s">
        <v>88</v>
      </c>
    </row>
    <row r="17" spans="1:2" x14ac:dyDescent="0.25">
      <c r="A17" t="s">
        <v>39</v>
      </c>
      <c r="B17" t="s">
        <v>88</v>
      </c>
    </row>
    <row r="18" spans="1:2" x14ac:dyDescent="0.25">
      <c r="A18" t="s">
        <v>49</v>
      </c>
      <c r="B18" t="s">
        <v>88</v>
      </c>
    </row>
    <row r="19" spans="1:2" x14ac:dyDescent="0.25">
      <c r="A19" t="s">
        <v>54</v>
      </c>
      <c r="B19" t="s">
        <v>88</v>
      </c>
    </row>
    <row r="20" spans="1:2" x14ac:dyDescent="0.25">
      <c r="A20" t="s">
        <v>70</v>
      </c>
      <c r="B20" t="s">
        <v>88</v>
      </c>
    </row>
    <row r="21" spans="1:2" x14ac:dyDescent="0.25">
      <c r="A21" t="s">
        <v>20</v>
      </c>
      <c r="B21" t="s">
        <v>88</v>
      </c>
    </row>
    <row r="22" spans="1:2" x14ac:dyDescent="0.25">
      <c r="A22" t="s">
        <v>32</v>
      </c>
      <c r="B22" t="s">
        <v>88</v>
      </c>
    </row>
    <row r="23" spans="1:2" x14ac:dyDescent="0.25">
      <c r="A23" t="s">
        <v>68</v>
      </c>
      <c r="B23" t="s">
        <v>88</v>
      </c>
    </row>
    <row r="24" spans="1:2" x14ac:dyDescent="0.25">
      <c r="A24" t="s">
        <v>7</v>
      </c>
      <c r="B24" t="s">
        <v>88</v>
      </c>
    </row>
    <row r="25" spans="1:2" x14ac:dyDescent="0.25">
      <c r="A25" t="s">
        <v>2</v>
      </c>
      <c r="B25" t="s">
        <v>89</v>
      </c>
    </row>
    <row r="26" spans="1:2" x14ac:dyDescent="0.25">
      <c r="A26" t="s">
        <v>9</v>
      </c>
      <c r="B26" t="s">
        <v>89</v>
      </c>
    </row>
    <row r="27" spans="1:2" x14ac:dyDescent="0.25">
      <c r="A27" t="s">
        <v>21</v>
      </c>
      <c r="B27" t="s">
        <v>89</v>
      </c>
    </row>
    <row r="28" spans="1:2" x14ac:dyDescent="0.25">
      <c r="A28" t="s">
        <v>77</v>
      </c>
      <c r="B28" t="s">
        <v>89</v>
      </c>
    </row>
    <row r="29" spans="1:2" x14ac:dyDescent="0.25">
      <c r="A29" t="s">
        <v>47</v>
      </c>
      <c r="B29" t="s">
        <v>89</v>
      </c>
    </row>
    <row r="30" spans="1:2" x14ac:dyDescent="0.25">
      <c r="A30" t="s">
        <v>50</v>
      </c>
      <c r="B30" t="s">
        <v>89</v>
      </c>
    </row>
    <row r="31" spans="1:2" x14ac:dyDescent="0.25">
      <c r="A31" t="s">
        <v>53</v>
      </c>
      <c r="B31" t="s">
        <v>89</v>
      </c>
    </row>
    <row r="32" spans="1:2" x14ac:dyDescent="0.25">
      <c r="A32" t="s">
        <v>69</v>
      </c>
      <c r="B32" t="s">
        <v>89</v>
      </c>
    </row>
    <row r="33" spans="1:2" x14ac:dyDescent="0.25">
      <c r="A33" t="s">
        <v>13</v>
      </c>
      <c r="B33" t="s">
        <v>90</v>
      </c>
    </row>
    <row r="34" spans="1:2" x14ac:dyDescent="0.25">
      <c r="A34" t="s">
        <v>86</v>
      </c>
      <c r="B34" t="s">
        <v>90</v>
      </c>
    </row>
    <row r="35" spans="1:2" x14ac:dyDescent="0.25">
      <c r="A35" t="s">
        <v>23</v>
      </c>
      <c r="B35" t="s">
        <v>90</v>
      </c>
    </row>
    <row r="36" spans="1:2" x14ac:dyDescent="0.25">
      <c r="A36" t="s">
        <v>83</v>
      </c>
      <c r="B36" t="s">
        <v>90</v>
      </c>
    </row>
    <row r="37" spans="1:2" x14ac:dyDescent="0.25">
      <c r="A37" t="s">
        <v>29</v>
      </c>
      <c r="B37" t="s">
        <v>90</v>
      </c>
    </row>
    <row r="38" spans="1:2" x14ac:dyDescent="0.25">
      <c r="A38" t="s">
        <v>51</v>
      </c>
      <c r="B38" t="s">
        <v>90</v>
      </c>
    </row>
    <row r="39" spans="1:2" x14ac:dyDescent="0.25">
      <c r="A39" t="s">
        <v>64</v>
      </c>
      <c r="B39" t="s">
        <v>90</v>
      </c>
    </row>
    <row r="40" spans="1:2" x14ac:dyDescent="0.25">
      <c r="A40" t="s">
        <v>78</v>
      </c>
      <c r="B40" t="s">
        <v>90</v>
      </c>
    </row>
    <row r="41" spans="1:2" x14ac:dyDescent="0.25">
      <c r="A41" t="s">
        <v>79</v>
      </c>
      <c r="B41" t="s">
        <v>90</v>
      </c>
    </row>
    <row r="42" spans="1:2" x14ac:dyDescent="0.25">
      <c r="A42" t="s">
        <v>84</v>
      </c>
      <c r="B42" t="s">
        <v>90</v>
      </c>
    </row>
    <row r="43" spans="1:2" x14ac:dyDescent="0.25">
      <c r="A43" t="s">
        <v>1</v>
      </c>
      <c r="B43" t="s">
        <v>90</v>
      </c>
    </row>
    <row r="44" spans="1:2" x14ac:dyDescent="0.25">
      <c r="A44" t="s">
        <v>48</v>
      </c>
      <c r="B44" t="s">
        <v>90</v>
      </c>
    </row>
    <row r="45" spans="1:2" x14ac:dyDescent="0.25">
      <c r="A45" t="s">
        <v>5</v>
      </c>
      <c r="B45" t="s">
        <v>91</v>
      </c>
    </row>
    <row r="46" spans="1:2" x14ac:dyDescent="0.25">
      <c r="A46" t="s">
        <v>28</v>
      </c>
      <c r="B46" t="s">
        <v>91</v>
      </c>
    </row>
    <row r="47" spans="1:2" x14ac:dyDescent="0.25">
      <c r="A47" t="s">
        <v>38</v>
      </c>
      <c r="B47" t="s">
        <v>91</v>
      </c>
    </row>
    <row r="48" spans="1:2" x14ac:dyDescent="0.25">
      <c r="A48" t="s">
        <v>41</v>
      </c>
      <c r="B48" t="s">
        <v>91</v>
      </c>
    </row>
    <row r="49" spans="1:2" x14ac:dyDescent="0.25">
      <c r="A49" t="s">
        <v>42</v>
      </c>
      <c r="B49" t="s">
        <v>91</v>
      </c>
    </row>
    <row r="50" spans="1:2" x14ac:dyDescent="0.25">
      <c r="A50" t="s">
        <v>44</v>
      </c>
      <c r="B50" t="s">
        <v>91</v>
      </c>
    </row>
    <row r="51" spans="1:2" x14ac:dyDescent="0.25">
      <c r="A51" t="s">
        <v>46</v>
      </c>
      <c r="B51" t="s">
        <v>91</v>
      </c>
    </row>
    <row r="52" spans="1:2" x14ac:dyDescent="0.25">
      <c r="A52" t="s">
        <v>55</v>
      </c>
      <c r="B52" t="s">
        <v>91</v>
      </c>
    </row>
    <row r="53" spans="1:2" x14ac:dyDescent="0.25">
      <c r="A53" t="s">
        <v>63</v>
      </c>
      <c r="B53" t="s">
        <v>91</v>
      </c>
    </row>
    <row r="54" spans="1:2" x14ac:dyDescent="0.25">
      <c r="A54" t="s">
        <v>72</v>
      </c>
      <c r="B54" t="s">
        <v>91</v>
      </c>
    </row>
    <row r="55" spans="1:2" x14ac:dyDescent="0.25">
      <c r="A55" t="s">
        <v>75</v>
      </c>
      <c r="B55" t="s">
        <v>91</v>
      </c>
    </row>
    <row r="56" spans="1:2" x14ac:dyDescent="0.25">
      <c r="A56" t="s">
        <v>56</v>
      </c>
      <c r="B56" t="s">
        <v>91</v>
      </c>
    </row>
    <row r="57" spans="1:2" x14ac:dyDescent="0.25">
      <c r="A57" t="s">
        <v>3</v>
      </c>
      <c r="B57" t="s">
        <v>91</v>
      </c>
    </row>
    <row r="58" spans="1:2" x14ac:dyDescent="0.25">
      <c r="A58" t="s">
        <v>4</v>
      </c>
      <c r="B58" t="s">
        <v>92</v>
      </c>
    </row>
    <row r="59" spans="1:2" x14ac:dyDescent="0.25">
      <c r="A59" t="s">
        <v>8</v>
      </c>
      <c r="B59" t="s">
        <v>92</v>
      </c>
    </row>
    <row r="60" spans="1:2" x14ac:dyDescent="0.25">
      <c r="A60" t="s">
        <v>12</v>
      </c>
      <c r="B60" t="s">
        <v>92</v>
      </c>
    </row>
    <row r="61" spans="1:2" x14ac:dyDescent="0.25">
      <c r="A61" t="s">
        <v>15</v>
      </c>
      <c r="B61" t="s">
        <v>92</v>
      </c>
    </row>
    <row r="62" spans="1:2" x14ac:dyDescent="0.25">
      <c r="A62" t="s">
        <v>76</v>
      </c>
      <c r="B62" t="s">
        <v>92</v>
      </c>
    </row>
    <row r="63" spans="1:2" x14ac:dyDescent="0.25">
      <c r="A63" t="s">
        <v>37</v>
      </c>
      <c r="B63" t="s">
        <v>92</v>
      </c>
    </row>
    <row r="64" spans="1:2" x14ac:dyDescent="0.25">
      <c r="A64" t="s">
        <v>40</v>
      </c>
      <c r="B64" t="s">
        <v>92</v>
      </c>
    </row>
    <row r="65" spans="1:2" x14ac:dyDescent="0.25">
      <c r="A65" t="s">
        <v>57</v>
      </c>
      <c r="B65" t="s">
        <v>92</v>
      </c>
    </row>
    <row r="66" spans="1:2" x14ac:dyDescent="0.25">
      <c r="A66" t="s">
        <v>59</v>
      </c>
      <c r="B66" t="s">
        <v>92</v>
      </c>
    </row>
    <row r="67" spans="1:2" x14ac:dyDescent="0.25">
      <c r="A67" t="s">
        <v>61</v>
      </c>
      <c r="B67" t="s">
        <v>92</v>
      </c>
    </row>
    <row r="68" spans="1:2" x14ac:dyDescent="0.25">
      <c r="A68" t="s">
        <v>62</v>
      </c>
      <c r="B68" t="s">
        <v>92</v>
      </c>
    </row>
    <row r="69" spans="1:2" x14ac:dyDescent="0.25">
      <c r="A69" t="s">
        <v>66</v>
      </c>
      <c r="B69" t="s">
        <v>92</v>
      </c>
    </row>
    <row r="70" spans="1:2" x14ac:dyDescent="0.25">
      <c r="A70" t="s">
        <v>67</v>
      </c>
      <c r="B70" t="s">
        <v>92</v>
      </c>
    </row>
    <row r="71" spans="1:2" x14ac:dyDescent="0.25">
      <c r="A71" t="s">
        <v>73</v>
      </c>
      <c r="B71" t="s">
        <v>92</v>
      </c>
    </row>
    <row r="72" spans="1:2" x14ac:dyDescent="0.25">
      <c r="A72" t="s">
        <v>31</v>
      </c>
      <c r="B72" t="s">
        <v>92</v>
      </c>
    </row>
    <row r="73" spans="1:2" x14ac:dyDescent="0.25">
      <c r="A73" t="s">
        <v>30</v>
      </c>
      <c r="B73" t="s">
        <v>92</v>
      </c>
    </row>
    <row r="74" spans="1:2" x14ac:dyDescent="0.25">
      <c r="A74" t="s">
        <v>14</v>
      </c>
      <c r="B74" t="s">
        <v>92</v>
      </c>
    </row>
    <row r="75" spans="1:2" x14ac:dyDescent="0.25">
      <c r="A75" t="s">
        <v>22</v>
      </c>
      <c r="B75" t="s">
        <v>92</v>
      </c>
    </row>
    <row r="76" spans="1:2" x14ac:dyDescent="0.25">
      <c r="A76" t="s">
        <v>11</v>
      </c>
      <c r="B76" t="s">
        <v>93</v>
      </c>
    </row>
    <row r="77" spans="1:2" x14ac:dyDescent="0.25">
      <c r="A77" t="s">
        <v>17</v>
      </c>
      <c r="B77" t="s">
        <v>93</v>
      </c>
    </row>
    <row r="78" spans="1:2" x14ac:dyDescent="0.25">
      <c r="A78" t="s">
        <v>74</v>
      </c>
      <c r="B78" t="s">
        <v>93</v>
      </c>
    </row>
    <row r="79" spans="1:2" x14ac:dyDescent="0.25">
      <c r="A79" t="s">
        <v>24</v>
      </c>
      <c r="B79" t="s">
        <v>93</v>
      </c>
    </row>
    <row r="80" spans="1:2" x14ac:dyDescent="0.25">
      <c r="A80" t="s">
        <v>177</v>
      </c>
      <c r="B80" t="s">
        <v>93</v>
      </c>
    </row>
    <row r="81" spans="1:2" x14ac:dyDescent="0.25">
      <c r="A81" t="s">
        <v>85</v>
      </c>
      <c r="B81" t="s">
        <v>93</v>
      </c>
    </row>
    <row r="82" spans="1:2" x14ac:dyDescent="0.25">
      <c r="A82" t="s">
        <v>43</v>
      </c>
      <c r="B82" t="s">
        <v>93</v>
      </c>
    </row>
    <row r="83" spans="1:2" x14ac:dyDescent="0.25">
      <c r="A83" t="s">
        <v>45</v>
      </c>
      <c r="B83" t="s">
        <v>93</v>
      </c>
    </row>
    <row r="84" spans="1:2" x14ac:dyDescent="0.25">
      <c r="A84" t="s">
        <v>60</v>
      </c>
      <c r="B84" t="s">
        <v>93</v>
      </c>
    </row>
    <row r="85" spans="1:2" x14ac:dyDescent="0.25">
      <c r="A85" t="s">
        <v>65</v>
      </c>
      <c r="B85" t="s">
        <v>93</v>
      </c>
    </row>
    <row r="86" spans="1:2" x14ac:dyDescent="0.25">
      <c r="A86" t="s">
        <v>71</v>
      </c>
      <c r="B86" t="s">
        <v>93</v>
      </c>
    </row>
    <row r="87" spans="1:2" x14ac:dyDescent="0.25">
      <c r="A87" t="s">
        <v>18</v>
      </c>
      <c r="B87" t="s">
        <v>93</v>
      </c>
    </row>
  </sheetData>
  <sortState xmlns:xlrd2="http://schemas.microsoft.com/office/spreadsheetml/2017/richdata2" ref="A2:B88">
    <sortCondition ref="B2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706E5-08D0-48D6-AB9B-F9DFA9EF316A}">
  <dimension ref="A3:G12"/>
  <sheetViews>
    <sheetView workbookViewId="0">
      <selection activeCell="B5" sqref="B5"/>
    </sheetView>
  </sheetViews>
  <sheetFormatPr defaultRowHeight="15" x14ac:dyDescent="0.25"/>
  <cols>
    <col min="1" max="1" width="19.28515625" bestFit="1" customWidth="1"/>
    <col min="2" max="2" width="17.140625" bestFit="1" customWidth="1"/>
    <col min="3" max="6" width="9" bestFit="1" customWidth="1"/>
    <col min="7" max="7" width="13.5703125" bestFit="1" customWidth="1"/>
  </cols>
  <sheetData>
    <row r="3" spans="1:7" x14ac:dyDescent="0.25">
      <c r="A3" s="14" t="s">
        <v>223</v>
      </c>
      <c r="B3" s="14" t="s">
        <v>222</v>
      </c>
    </row>
    <row r="4" spans="1:7" x14ac:dyDescent="0.25">
      <c r="A4" s="14" t="s">
        <v>220</v>
      </c>
      <c r="B4">
        <v>2000</v>
      </c>
      <c r="C4">
        <v>2010</v>
      </c>
      <c r="D4">
        <v>2020</v>
      </c>
      <c r="E4">
        <v>2024</v>
      </c>
      <c r="F4">
        <v>2025</v>
      </c>
      <c r="G4" t="s">
        <v>221</v>
      </c>
    </row>
    <row r="5" spans="1:7" x14ac:dyDescent="0.25">
      <c r="A5" s="15" t="s">
        <v>93</v>
      </c>
      <c r="B5">
        <v>17365027</v>
      </c>
      <c r="C5">
        <v>21887360</v>
      </c>
      <c r="D5">
        <v>25731357</v>
      </c>
      <c r="E5">
        <v>26549840</v>
      </c>
      <c r="F5">
        <v>26711525</v>
      </c>
      <c r="G5">
        <v>118245109</v>
      </c>
    </row>
    <row r="6" spans="1:7" x14ac:dyDescent="0.25">
      <c r="A6" s="15" t="s">
        <v>91</v>
      </c>
      <c r="B6">
        <v>11608868</v>
      </c>
      <c r="C6">
        <v>11811112</v>
      </c>
      <c r="D6">
        <v>13337745</v>
      </c>
      <c r="E6">
        <v>13738834</v>
      </c>
      <c r="F6">
        <v>13809574</v>
      </c>
      <c r="G6">
        <v>64306133</v>
      </c>
    </row>
    <row r="7" spans="1:7" x14ac:dyDescent="0.25">
      <c r="A7" s="15" t="s">
        <v>89</v>
      </c>
      <c r="B7">
        <v>8938781</v>
      </c>
      <c r="C7">
        <v>9693594</v>
      </c>
      <c r="D7">
        <v>10689115</v>
      </c>
      <c r="E7">
        <v>10974357</v>
      </c>
      <c r="F7">
        <v>11011261</v>
      </c>
      <c r="G7">
        <v>51307108</v>
      </c>
    </row>
    <row r="8" spans="1:7" x14ac:dyDescent="0.25">
      <c r="A8" s="15" t="s">
        <v>87</v>
      </c>
      <c r="B8">
        <v>8706005</v>
      </c>
      <c r="C8">
        <v>9423231</v>
      </c>
      <c r="D8">
        <v>10759218</v>
      </c>
      <c r="E8">
        <v>10936452</v>
      </c>
      <c r="F8">
        <v>11028175</v>
      </c>
      <c r="G8">
        <v>50853081</v>
      </c>
    </row>
    <row r="9" spans="1:7" x14ac:dyDescent="0.25">
      <c r="A9" s="15" t="s">
        <v>92</v>
      </c>
      <c r="B9">
        <v>8439213</v>
      </c>
      <c r="C9">
        <v>7539694</v>
      </c>
      <c r="D9">
        <v>7916169</v>
      </c>
      <c r="E9">
        <v>8041912</v>
      </c>
      <c r="F9">
        <v>8041038</v>
      </c>
      <c r="G9">
        <v>39978026</v>
      </c>
    </row>
    <row r="10" spans="1:7" x14ac:dyDescent="0.25">
      <c r="A10" s="15" t="s">
        <v>90</v>
      </c>
      <c r="B10">
        <v>6608619</v>
      </c>
      <c r="C10">
        <v>7592772</v>
      </c>
      <c r="D10">
        <v>9118921</v>
      </c>
      <c r="E10">
        <v>9490286</v>
      </c>
      <c r="F10">
        <v>9587992</v>
      </c>
      <c r="G10">
        <v>42398590</v>
      </c>
    </row>
    <row r="11" spans="1:7" x14ac:dyDescent="0.25">
      <c r="A11" s="15" t="s">
        <v>88</v>
      </c>
      <c r="B11">
        <v>6137414</v>
      </c>
      <c r="C11">
        <v>5775225</v>
      </c>
      <c r="D11">
        <v>6061837</v>
      </c>
      <c r="E11">
        <v>5933263</v>
      </c>
      <c r="F11">
        <v>5902603</v>
      </c>
      <c r="G11">
        <v>29810342</v>
      </c>
    </row>
    <row r="12" spans="1:7" x14ac:dyDescent="0.25">
      <c r="A12" s="15" t="s">
        <v>221</v>
      </c>
      <c r="B12">
        <v>67803927</v>
      </c>
      <c r="C12">
        <v>73722988</v>
      </c>
      <c r="D12">
        <v>83614362</v>
      </c>
      <c r="E12">
        <v>85664944</v>
      </c>
      <c r="F12">
        <v>86092168</v>
      </c>
      <c r="G12">
        <v>396898389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7</vt:i4>
      </vt:variant>
      <vt:variant>
        <vt:lpstr>Grafikler</vt:lpstr>
      </vt:variant>
      <vt:variant>
        <vt:i4>1</vt:i4>
      </vt:variant>
    </vt:vector>
  </HeadingPairs>
  <TitlesOfParts>
    <vt:vector size="8" baseType="lpstr">
      <vt:lpstr>Soru-1</vt:lpstr>
      <vt:lpstr>Soru-2</vt:lpstr>
      <vt:lpstr>Soru-3</vt:lpstr>
      <vt:lpstr>Soru-4</vt:lpstr>
      <vt:lpstr>Soru-5</vt:lpstr>
      <vt:lpstr>İl-Bölge</vt:lpstr>
      <vt:lpstr>Soru-5 (Pivot)</vt:lpstr>
      <vt:lpstr>Soru-5 (Grafik)</vt:lpstr>
    </vt:vector>
  </TitlesOfParts>
  <Company>...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</dc:creator>
  <cp:lastModifiedBy>HASAN ÖMER UTANÇ</cp:lastModifiedBy>
  <dcterms:created xsi:type="dcterms:W3CDTF">2018-04-06T12:16:24Z</dcterms:created>
  <dcterms:modified xsi:type="dcterms:W3CDTF">2026-05-08T20:36:02Z</dcterms:modified>
</cp:coreProperties>
</file>